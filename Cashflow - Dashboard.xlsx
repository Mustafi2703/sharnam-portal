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Sharnam II\Submission\Phase 01\"/>
    </mc:Choice>
  </mc:AlternateContent>
  <xr:revisionPtr revIDLastSave="0" documentId="13_ncr:1_{A9A78AEE-2E5D-443C-AA54-6B2FB1E38AC3}" xr6:coauthVersionLast="47" xr6:coauthVersionMax="47" xr10:uidLastSave="{00000000-0000-0000-0000-000000000000}"/>
  <bookViews>
    <workbookView xWindow="-108" yWindow="-108" windowWidth="23256" windowHeight="12456" xr2:uid="{27237C94-D42B-438E-89AF-350044ACBEBD}"/>
  </bookViews>
  <sheets>
    <sheet name="Dashboard" sheetId="1" r:id="rId1"/>
    <sheet name="Tracking" sheetId="2" r:id="rId2"/>
    <sheet name="Cash Flow Chart - INR" sheetId="4" r:id="rId3"/>
    <sheet name="Cash Flow - Forecast" sheetId="3" r:id="rId4"/>
    <sheet name="Budget" sheetId="5" r:id="rId5"/>
    <sheet name="Monitoring" sheetId="6" r:id="rId6"/>
    <sheet name="STEEL RATE DIFFRENCE" sheetId="7" r:id="rId7"/>
    <sheet name="CEMENT RATE DIFFRENCE" sheetId="8" r:id="rId8"/>
  </sheets>
  <externalReferences>
    <externalReference r:id="rId9"/>
    <externalReference r:id="rId10"/>
  </externalReferences>
  <definedNames>
    <definedName name="_Fill" hidden="1">#REF!</definedName>
    <definedName name="_xlnm._FilterDatabase" localSheetId="5" hidden="1">Monitoring!$B$1:$B$72</definedName>
    <definedName name="_Order1" hidden="1">255</definedName>
    <definedName name="_Sort" hidden="1">#REF!</definedName>
    <definedName name="A">#REF!</definedName>
    <definedName name="aas" hidden="1">#REF!</definedName>
    <definedName name="AccessDatabase" hidden="1">"C:\WINDOWS\DESKTOP\Mike\FAX COVER SHEET.mdb"</definedName>
    <definedName name="BBlock" hidden="1">#REF!</definedName>
    <definedName name="Button_1">"FAX_COVER_SHEET_COMPANIES_List"</definedName>
    <definedName name="_xlnm.Database">#REF!</definedName>
    <definedName name="Excel_BuiltIn_Database">#REF!</definedName>
    <definedName name="Excel_BuiltIn_Print_Area">#REF!</definedName>
    <definedName name="fe">#REF!</definedName>
    <definedName name="HTML_CodePage" hidden="1">1252</definedName>
    <definedName name="HTML_Control" hidden="1">{"'Sheet1'!$A$4386:$N$4591"}</definedName>
    <definedName name="HTML_Description" hidden="1">""</definedName>
    <definedName name="HTML_Email" hidden="1">""</definedName>
    <definedName name="HTML_Header" hidden="1">"Sheet1"</definedName>
    <definedName name="HTML_LastUpdate" hidden="1">"7/1/03"</definedName>
    <definedName name="HTML_LineAfter" hidden="1">FALSE</definedName>
    <definedName name="HTML_LineBefore" hidden="1">FALSE</definedName>
    <definedName name="HTML_Name" hidden="1">"m.p.raval"</definedName>
    <definedName name="HTML_OBDlg2" hidden="1">TRUE</definedName>
    <definedName name="HTML_OBDlg4" hidden="1">TRUE</definedName>
    <definedName name="HTML_OS" hidden="1">0</definedName>
    <definedName name="HTML_PathFile" hidden="1">"A:\MyHTML.htm"</definedName>
    <definedName name="HTML_Title" hidden="1">"SGSDaily Progress Report Piyaj toDharoi Pipeline"</definedName>
    <definedName name="m">#REF!</definedName>
    <definedName name="n">#REF!</definedName>
    <definedName name="_xlnm.Print_Area" localSheetId="4">Budget!$B$1:$O$30</definedName>
    <definedName name="_xlnm.Print_Area" localSheetId="3">'Cash Flow - Forecast'!$B$6:$X$27</definedName>
    <definedName name="_xlnm.Print_Area">#REF!</definedName>
    <definedName name="Print_Area_MI">#REF!</definedName>
    <definedName name="_xlnm.Recorder">#REF!</definedName>
    <definedName name="vijay">'[1]AXIS 9-18  MS'!$B$306</definedName>
    <definedName name="XCBa">#REF!</definedName>
  </definedNames>
  <calcPr calcId="191029"/>
  <pivotCaches>
    <pivotCache cacheId="0" r:id="rId11"/>
    <pivotCache cacheId="1"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7" l="1"/>
  <c r="L10" i="8"/>
  <c r="Z5" i="1"/>
  <c r="L5" i="1"/>
  <c r="E5" i="1"/>
  <c r="D45" i="5"/>
  <c r="D44" i="5"/>
  <c r="D43" i="5"/>
  <c r="D41" i="5"/>
  <c r="D40" i="5"/>
  <c r="D39" i="5"/>
  <c r="B5" i="1"/>
  <c r="B42" i="7"/>
  <c r="S25" i="2"/>
  <c r="T25" i="2"/>
  <c r="U25" i="2"/>
  <c r="U5" i="2"/>
  <c r="E10" i="8"/>
  <c r="K9" i="8"/>
  <c r="I9" i="8"/>
  <c r="H9" i="8"/>
  <c r="G9" i="8"/>
  <c r="J9" i="8" s="1"/>
  <c r="K8" i="8"/>
  <c r="I8" i="8"/>
  <c r="H8" i="8"/>
  <c r="G8" i="8"/>
  <c r="J8" i="8" s="1"/>
  <c r="K7" i="8"/>
  <c r="J7" i="8"/>
  <c r="I7" i="8"/>
  <c r="H7" i="8"/>
  <c r="G7" i="8"/>
  <c r="J6" i="8"/>
  <c r="H6" i="8"/>
  <c r="G6" i="8"/>
  <c r="K6" i="8" s="1"/>
  <c r="K5" i="8"/>
  <c r="J5" i="8"/>
  <c r="I5" i="8"/>
  <c r="H5" i="8"/>
  <c r="K4" i="8"/>
  <c r="I4" i="8"/>
  <c r="H4" i="8"/>
  <c r="G4" i="8"/>
  <c r="J4" i="8" s="1"/>
  <c r="K3" i="8"/>
  <c r="J3" i="8"/>
  <c r="I3" i="8"/>
  <c r="H3" i="8"/>
  <c r="H10" i="8" s="1"/>
  <c r="G3" i="8"/>
  <c r="L39" i="7"/>
  <c r="F39" i="7"/>
  <c r="L38" i="7"/>
  <c r="K38" i="7"/>
  <c r="J38" i="7"/>
  <c r="I38" i="7"/>
  <c r="L37" i="7"/>
  <c r="K37" i="7"/>
  <c r="J37" i="7"/>
  <c r="I37" i="7"/>
  <c r="L36" i="7"/>
  <c r="K36" i="7"/>
  <c r="J36" i="7"/>
  <c r="I36" i="7"/>
  <c r="L35" i="7"/>
  <c r="K35" i="7"/>
  <c r="J35" i="7"/>
  <c r="I35" i="7"/>
  <c r="L34" i="7"/>
  <c r="K34" i="7"/>
  <c r="J34" i="7"/>
  <c r="I34" i="7"/>
  <c r="L33" i="7"/>
  <c r="K33" i="7"/>
  <c r="J33" i="7"/>
  <c r="I33" i="7"/>
  <c r="L32" i="7"/>
  <c r="K32" i="7"/>
  <c r="J32" i="7"/>
  <c r="I32" i="7"/>
  <c r="L31" i="7"/>
  <c r="K31" i="7"/>
  <c r="J31" i="7"/>
  <c r="I31" i="7"/>
  <c r="L30" i="7"/>
  <c r="K30" i="7"/>
  <c r="J30" i="7"/>
  <c r="I30" i="7"/>
  <c r="L29" i="7"/>
  <c r="K29" i="7"/>
  <c r="J29" i="7"/>
  <c r="I29" i="7"/>
  <c r="L28" i="7"/>
  <c r="K28" i="7"/>
  <c r="J28" i="7"/>
  <c r="I28" i="7"/>
  <c r="L27" i="7"/>
  <c r="K27" i="7"/>
  <c r="J27" i="7"/>
  <c r="I27" i="7"/>
  <c r="L26" i="7"/>
  <c r="K26" i="7"/>
  <c r="J26" i="7"/>
  <c r="I26" i="7"/>
  <c r="L25" i="7"/>
  <c r="K25" i="7"/>
  <c r="J25" i="7"/>
  <c r="I25" i="7"/>
  <c r="L24" i="7"/>
  <c r="K24" i="7"/>
  <c r="J24" i="7"/>
  <c r="I24" i="7"/>
  <c r="L23" i="7"/>
  <c r="K23" i="7"/>
  <c r="J23" i="7"/>
  <c r="I23" i="7"/>
  <c r="L22" i="7"/>
  <c r="K22" i="7"/>
  <c r="J22" i="7"/>
  <c r="I22" i="7"/>
  <c r="L21" i="7"/>
  <c r="K21" i="7"/>
  <c r="J21" i="7"/>
  <c r="I21" i="7"/>
  <c r="L20" i="7"/>
  <c r="K20" i="7"/>
  <c r="J20" i="7"/>
  <c r="I20" i="7"/>
  <c r="L19" i="7"/>
  <c r="K19" i="7"/>
  <c r="J19" i="7"/>
  <c r="I19" i="7"/>
  <c r="L18" i="7"/>
  <c r="K18" i="7"/>
  <c r="J18" i="7"/>
  <c r="I18" i="7"/>
  <c r="L17" i="7"/>
  <c r="K17" i="7"/>
  <c r="J17" i="7"/>
  <c r="I17" i="7"/>
  <c r="L16" i="7"/>
  <c r="K16" i="7"/>
  <c r="J16" i="7"/>
  <c r="I16" i="7"/>
  <c r="L15" i="7"/>
  <c r="K15" i="7"/>
  <c r="J15" i="7"/>
  <c r="I15" i="7"/>
  <c r="L14" i="7"/>
  <c r="K14" i="7"/>
  <c r="J14" i="7"/>
  <c r="I14" i="7"/>
  <c r="L13" i="7"/>
  <c r="K13" i="7"/>
  <c r="J13" i="7"/>
  <c r="I13" i="7"/>
  <c r="L12" i="7"/>
  <c r="K12" i="7"/>
  <c r="J12" i="7"/>
  <c r="I12" i="7"/>
  <c r="L11" i="7"/>
  <c r="K11" i="7"/>
  <c r="J11" i="7"/>
  <c r="I11" i="7"/>
  <c r="L10" i="7"/>
  <c r="K10" i="7"/>
  <c r="J10" i="7"/>
  <c r="I10" i="7"/>
  <c r="L9" i="7"/>
  <c r="K9" i="7"/>
  <c r="J9" i="7"/>
  <c r="I9" i="7"/>
  <c r="L8" i="7"/>
  <c r="K8" i="7"/>
  <c r="J8" i="7"/>
  <c r="I8" i="7"/>
  <c r="L7" i="7"/>
  <c r="K7" i="7"/>
  <c r="J7" i="7"/>
  <c r="I7" i="7"/>
  <c r="L6" i="7"/>
  <c r="K6" i="7"/>
  <c r="J6" i="7"/>
  <c r="I6" i="7"/>
  <c r="L5" i="7"/>
  <c r="K5" i="7"/>
  <c r="J5" i="7"/>
  <c r="I5" i="7"/>
  <c r="L4" i="7"/>
  <c r="K4" i="7"/>
  <c r="K39" i="7" s="1"/>
  <c r="J4" i="7"/>
  <c r="I4" i="7"/>
  <c r="I39" i="7" s="1"/>
  <c r="L3" i="7"/>
  <c r="K3" i="7"/>
  <c r="J3" i="7"/>
  <c r="J39" i="7" s="1"/>
  <c r="I3" i="7"/>
  <c r="J77" i="6"/>
  <c r="I77" i="6"/>
  <c r="H77" i="6"/>
  <c r="G77" i="6"/>
  <c r="J76" i="6"/>
  <c r="J78" i="6" s="1"/>
  <c r="J79" i="6" s="1"/>
  <c r="I76" i="6"/>
  <c r="I78" i="6" s="1"/>
  <c r="I79" i="6" s="1"/>
  <c r="H76" i="6"/>
  <c r="H78" i="6" s="1"/>
  <c r="H79" i="6" s="1"/>
  <c r="G76" i="6"/>
  <c r="G78" i="6" s="1"/>
  <c r="G79" i="6" s="1"/>
  <c r="AJ72" i="6"/>
  <c r="R72" i="6"/>
  <c r="U71" i="6"/>
  <c r="S71" i="6"/>
  <c r="O71" i="6"/>
  <c r="N71" i="6"/>
  <c r="M71" i="6"/>
  <c r="L71" i="6"/>
  <c r="J71" i="6"/>
  <c r="Q71" i="6" s="1"/>
  <c r="I71" i="6"/>
  <c r="P71" i="6" s="1"/>
  <c r="U70" i="6"/>
  <c r="S70" i="6"/>
  <c r="O70" i="6"/>
  <c r="J70" i="6"/>
  <c r="I70" i="6"/>
  <c r="P70" i="6" s="1"/>
  <c r="D70" i="6"/>
  <c r="N70" i="6" s="1"/>
  <c r="S69" i="6"/>
  <c r="O69" i="6"/>
  <c r="N69" i="6"/>
  <c r="L69" i="6"/>
  <c r="I69" i="6"/>
  <c r="P69" i="6" s="1"/>
  <c r="F69" i="6"/>
  <c r="M69" i="6" s="1"/>
  <c r="S68" i="6"/>
  <c r="O68" i="6"/>
  <c r="N68" i="6"/>
  <c r="M68" i="6"/>
  <c r="L68" i="6"/>
  <c r="I68" i="6"/>
  <c r="P68" i="6" s="1"/>
  <c r="F68" i="6"/>
  <c r="U68" i="6" s="1"/>
  <c r="O67" i="6"/>
  <c r="N67" i="6"/>
  <c r="O66" i="6"/>
  <c r="N66" i="6"/>
  <c r="U65" i="6"/>
  <c r="S65" i="6"/>
  <c r="O65" i="6"/>
  <c r="M65" i="6"/>
  <c r="L65" i="6"/>
  <c r="I65" i="6"/>
  <c r="P65" i="6" s="1"/>
  <c r="G65" i="6"/>
  <c r="T65" i="6" s="1"/>
  <c r="U64" i="6"/>
  <c r="S64" i="6"/>
  <c r="O64" i="6"/>
  <c r="M64" i="6"/>
  <c r="L64" i="6"/>
  <c r="G64" i="6"/>
  <c r="N64" i="6" s="1"/>
  <c r="U63" i="6"/>
  <c r="S63" i="6"/>
  <c r="O63" i="6"/>
  <c r="M63" i="6"/>
  <c r="L63" i="6"/>
  <c r="I63" i="6"/>
  <c r="P63" i="6" s="1"/>
  <c r="G63" i="6"/>
  <c r="T63" i="6" s="1"/>
  <c r="U62" i="6"/>
  <c r="S62" i="6"/>
  <c r="O62" i="6"/>
  <c r="M62" i="6"/>
  <c r="L62" i="6"/>
  <c r="G62" i="6"/>
  <c r="N62" i="6" s="1"/>
  <c r="O61" i="6"/>
  <c r="N61" i="6"/>
  <c r="M61" i="6"/>
  <c r="J61" i="6"/>
  <c r="Q61" i="6" s="1"/>
  <c r="I61" i="6"/>
  <c r="P61" i="6" s="1"/>
  <c r="U60" i="6"/>
  <c r="S60" i="6"/>
  <c r="O60" i="6"/>
  <c r="N60" i="6"/>
  <c r="M60" i="6"/>
  <c r="L60" i="6"/>
  <c r="G60" i="6"/>
  <c r="T60" i="6" s="1"/>
  <c r="U59" i="6"/>
  <c r="T59" i="6"/>
  <c r="S59" i="6"/>
  <c r="P59" i="6"/>
  <c r="O59" i="6"/>
  <c r="M59" i="6"/>
  <c r="L59" i="6"/>
  <c r="J59" i="6"/>
  <c r="Q59" i="6" s="1"/>
  <c r="I59" i="6"/>
  <c r="G59" i="6"/>
  <c r="N59" i="6" s="1"/>
  <c r="U58" i="6"/>
  <c r="S58" i="6"/>
  <c r="O58" i="6"/>
  <c r="N58" i="6"/>
  <c r="M58" i="6"/>
  <c r="L58" i="6"/>
  <c r="G58" i="6"/>
  <c r="T58" i="6" s="1"/>
  <c r="U57" i="6"/>
  <c r="T57" i="6"/>
  <c r="S57" i="6"/>
  <c r="P57" i="6"/>
  <c r="O57" i="6"/>
  <c r="M57" i="6"/>
  <c r="L57" i="6"/>
  <c r="J57" i="6"/>
  <c r="Q57" i="6" s="1"/>
  <c r="I57" i="6"/>
  <c r="G57" i="6"/>
  <c r="N57" i="6" s="1"/>
  <c r="U56" i="6"/>
  <c r="S56" i="6"/>
  <c r="O56" i="6"/>
  <c r="N56" i="6"/>
  <c r="M56" i="6"/>
  <c r="L56" i="6"/>
  <c r="G56" i="6"/>
  <c r="T56" i="6" s="1"/>
  <c r="U55" i="6"/>
  <c r="T55" i="6"/>
  <c r="S55" i="6"/>
  <c r="P55" i="6"/>
  <c r="O55" i="6"/>
  <c r="M55" i="6"/>
  <c r="L55" i="6"/>
  <c r="J55" i="6"/>
  <c r="Q55" i="6" s="1"/>
  <c r="I55" i="6"/>
  <c r="G55" i="6"/>
  <c r="N55" i="6" s="1"/>
  <c r="U54" i="6"/>
  <c r="S54" i="6"/>
  <c r="O54" i="6"/>
  <c r="N54" i="6"/>
  <c r="M54" i="6"/>
  <c r="L54" i="6"/>
  <c r="G54" i="6"/>
  <c r="T54" i="6" s="1"/>
  <c r="U53" i="6"/>
  <c r="T53" i="6"/>
  <c r="S53" i="6"/>
  <c r="P53" i="6"/>
  <c r="O53" i="6"/>
  <c r="M53" i="6"/>
  <c r="L53" i="6"/>
  <c r="J53" i="6"/>
  <c r="Q53" i="6" s="1"/>
  <c r="I53" i="6"/>
  <c r="G53" i="6"/>
  <c r="N53" i="6" s="1"/>
  <c r="U52" i="6"/>
  <c r="S52" i="6"/>
  <c r="G52" i="6"/>
  <c r="T52" i="6" s="1"/>
  <c r="U51" i="6"/>
  <c r="S51" i="6"/>
  <c r="G51" i="6"/>
  <c r="T51" i="6" s="1"/>
  <c r="U50" i="6"/>
  <c r="T50" i="6"/>
  <c r="S50" i="6"/>
  <c r="N50" i="6"/>
  <c r="J50" i="6"/>
  <c r="Q50" i="6" s="1"/>
  <c r="G50" i="6"/>
  <c r="I50" i="6" s="1"/>
  <c r="P50" i="6" s="1"/>
  <c r="D50" i="6"/>
  <c r="D51" i="6" s="1"/>
  <c r="U49" i="6"/>
  <c r="T49" i="6"/>
  <c r="S49" i="6"/>
  <c r="M49" i="6"/>
  <c r="J49" i="6"/>
  <c r="Q49" i="6" s="1"/>
  <c r="I49" i="6"/>
  <c r="G49" i="6"/>
  <c r="D49" i="6"/>
  <c r="P49" i="6" s="1"/>
  <c r="U48" i="6"/>
  <c r="T48" i="6"/>
  <c r="S48" i="6"/>
  <c r="P48" i="6"/>
  <c r="O48" i="6"/>
  <c r="M48" i="6"/>
  <c r="L48" i="6"/>
  <c r="J48" i="6"/>
  <c r="Q48" i="6" s="1"/>
  <c r="I48" i="6"/>
  <c r="G48" i="6"/>
  <c r="N48" i="6" s="1"/>
  <c r="U47" i="6"/>
  <c r="S47" i="6"/>
  <c r="O47" i="6"/>
  <c r="N47" i="6"/>
  <c r="M47" i="6"/>
  <c r="L47" i="6"/>
  <c r="G47" i="6"/>
  <c r="T47" i="6" s="1"/>
  <c r="U46" i="6"/>
  <c r="T46" i="6"/>
  <c r="S46" i="6"/>
  <c r="P46" i="6"/>
  <c r="O46" i="6"/>
  <c r="M46" i="6"/>
  <c r="L46" i="6"/>
  <c r="J46" i="6"/>
  <c r="Q46" i="6" s="1"/>
  <c r="I46" i="6"/>
  <c r="G46" i="6"/>
  <c r="N46" i="6" s="1"/>
  <c r="U45" i="6"/>
  <c r="S45" i="6"/>
  <c r="O45" i="6"/>
  <c r="N45" i="6"/>
  <c r="M45" i="6"/>
  <c r="L45" i="6"/>
  <c r="G45" i="6"/>
  <c r="T45" i="6" s="1"/>
  <c r="O44" i="6"/>
  <c r="M44" i="6"/>
  <c r="L44" i="6"/>
  <c r="I44" i="6"/>
  <c r="P44" i="6" s="1"/>
  <c r="G44" i="6"/>
  <c r="J44" i="6" s="1"/>
  <c r="Q44" i="6" s="1"/>
  <c r="Q43" i="6"/>
  <c r="N43" i="6"/>
  <c r="M43" i="6"/>
  <c r="L43" i="6"/>
  <c r="J43" i="6"/>
  <c r="H43" i="6"/>
  <c r="G43" i="6"/>
  <c r="I43" i="6" s="1"/>
  <c r="P43" i="6" s="1"/>
  <c r="U42" i="6"/>
  <c r="T42" i="6"/>
  <c r="S42" i="6"/>
  <c r="J42" i="6"/>
  <c r="G42" i="6"/>
  <c r="I42" i="6" s="1"/>
  <c r="U41" i="6"/>
  <c r="T41" i="6"/>
  <c r="S41" i="6"/>
  <c r="J41" i="6"/>
  <c r="I41" i="6"/>
  <c r="G41" i="6"/>
  <c r="U40" i="6"/>
  <c r="T40" i="6"/>
  <c r="S40" i="6"/>
  <c r="J40" i="6"/>
  <c r="Q40" i="6" s="1"/>
  <c r="I40" i="6"/>
  <c r="G40" i="6"/>
  <c r="N40" i="6" s="1"/>
  <c r="D40" i="6"/>
  <c r="U39" i="6"/>
  <c r="S39" i="6"/>
  <c r="O39" i="6"/>
  <c r="M39" i="6"/>
  <c r="L39" i="6"/>
  <c r="J39" i="6"/>
  <c r="Q39" i="6" s="1"/>
  <c r="I39" i="6"/>
  <c r="P39" i="6" s="1"/>
  <c r="G39" i="6"/>
  <c r="T39" i="6" s="1"/>
  <c r="D39" i="6"/>
  <c r="U38" i="6"/>
  <c r="S38" i="6"/>
  <c r="O38" i="6"/>
  <c r="M38" i="6"/>
  <c r="L38" i="6"/>
  <c r="I38" i="6"/>
  <c r="P38" i="6" s="1"/>
  <c r="G38" i="6"/>
  <c r="N38" i="6" s="1"/>
  <c r="D38" i="6"/>
  <c r="U37" i="6"/>
  <c r="S37" i="6"/>
  <c r="O37" i="6"/>
  <c r="M37" i="6"/>
  <c r="L37" i="6"/>
  <c r="G37" i="6"/>
  <c r="N37" i="6" s="1"/>
  <c r="P36" i="6"/>
  <c r="O36" i="6"/>
  <c r="N36" i="6"/>
  <c r="M36" i="6"/>
  <c r="L36" i="6"/>
  <c r="J36" i="6"/>
  <c r="Q36" i="6" s="1"/>
  <c r="I36" i="6"/>
  <c r="U35" i="6"/>
  <c r="T35" i="6"/>
  <c r="S35" i="6"/>
  <c r="M35" i="6"/>
  <c r="J35" i="6"/>
  <c r="Q35" i="6" s="1"/>
  <c r="I35" i="6"/>
  <c r="G35" i="6"/>
  <c r="D35" i="6"/>
  <c r="P35" i="6" s="1"/>
  <c r="U34" i="6"/>
  <c r="T34" i="6"/>
  <c r="S34" i="6"/>
  <c r="J34" i="6"/>
  <c r="I34" i="6"/>
  <c r="G34" i="6"/>
  <c r="D34" i="6"/>
  <c r="U33" i="6"/>
  <c r="T33" i="6"/>
  <c r="S33" i="6"/>
  <c r="O33" i="6"/>
  <c r="M33" i="6"/>
  <c r="L33" i="6"/>
  <c r="J33" i="6"/>
  <c r="Q33" i="6" s="1"/>
  <c r="I33" i="6"/>
  <c r="P33" i="6" s="1"/>
  <c r="G33" i="6"/>
  <c r="N33" i="6" s="1"/>
  <c r="U32" i="6"/>
  <c r="S32" i="6"/>
  <c r="O32" i="6"/>
  <c r="M32" i="6"/>
  <c r="L32" i="6"/>
  <c r="G32" i="6"/>
  <c r="U31" i="6"/>
  <c r="T31" i="6"/>
  <c r="S31" i="6"/>
  <c r="O31" i="6"/>
  <c r="M31" i="6"/>
  <c r="L31" i="6"/>
  <c r="J31" i="6"/>
  <c r="Q31" i="6" s="1"/>
  <c r="I31" i="6"/>
  <c r="P31" i="6" s="1"/>
  <c r="G31" i="6"/>
  <c r="N31" i="6" s="1"/>
  <c r="U30" i="6"/>
  <c r="S30" i="6"/>
  <c r="O30" i="6"/>
  <c r="M30" i="6"/>
  <c r="L30" i="6"/>
  <c r="G30" i="6"/>
  <c r="U29" i="6"/>
  <c r="T29" i="6"/>
  <c r="S29" i="6"/>
  <c r="O29" i="6"/>
  <c r="M29" i="6"/>
  <c r="L29" i="6"/>
  <c r="J29" i="6"/>
  <c r="Q29" i="6" s="1"/>
  <c r="I29" i="6"/>
  <c r="P29" i="6" s="1"/>
  <c r="G29" i="6"/>
  <c r="N29" i="6" s="1"/>
  <c r="U28" i="6"/>
  <c r="S28" i="6"/>
  <c r="O28" i="6"/>
  <c r="M28" i="6"/>
  <c r="L28" i="6"/>
  <c r="G28" i="6"/>
  <c r="U27" i="6"/>
  <c r="T27" i="6"/>
  <c r="S27" i="6"/>
  <c r="O27" i="6"/>
  <c r="M27" i="6"/>
  <c r="L27" i="6"/>
  <c r="J27" i="6"/>
  <c r="Q27" i="6" s="1"/>
  <c r="I27" i="6"/>
  <c r="P27" i="6" s="1"/>
  <c r="G27" i="6"/>
  <c r="N27" i="6" s="1"/>
  <c r="U26" i="6"/>
  <c r="S26" i="6"/>
  <c r="O26" i="6"/>
  <c r="M26" i="6"/>
  <c r="L26" i="6"/>
  <c r="G26" i="6"/>
  <c r="U25" i="6"/>
  <c r="T25" i="6"/>
  <c r="S25" i="6"/>
  <c r="O25" i="6"/>
  <c r="M25" i="6"/>
  <c r="L25" i="6"/>
  <c r="J25" i="6"/>
  <c r="Q25" i="6" s="1"/>
  <c r="I25" i="6"/>
  <c r="P25" i="6" s="1"/>
  <c r="G25" i="6"/>
  <c r="N25" i="6" s="1"/>
  <c r="U24" i="6"/>
  <c r="S24" i="6"/>
  <c r="O24" i="6"/>
  <c r="M24" i="6"/>
  <c r="L24" i="6"/>
  <c r="G24" i="6"/>
  <c r="U23" i="6"/>
  <c r="T23" i="6"/>
  <c r="S23" i="6"/>
  <c r="J23" i="6"/>
  <c r="Q23" i="6" s="1"/>
  <c r="I23" i="6"/>
  <c r="G23" i="6"/>
  <c r="N23" i="6" s="1"/>
  <c r="U22" i="6"/>
  <c r="S22" i="6"/>
  <c r="O22" i="6"/>
  <c r="L22" i="6"/>
  <c r="I22" i="6"/>
  <c r="P22" i="6" s="1"/>
  <c r="G22" i="6"/>
  <c r="N22" i="6" s="1"/>
  <c r="D22" i="6"/>
  <c r="D23" i="6" s="1"/>
  <c r="U21" i="6"/>
  <c r="S21" i="6"/>
  <c r="O21" i="6"/>
  <c r="M21" i="6"/>
  <c r="L21" i="6"/>
  <c r="G21" i="6"/>
  <c r="N21" i="6" s="1"/>
  <c r="D21" i="6"/>
  <c r="U20" i="6"/>
  <c r="Q20" i="6"/>
  <c r="N20" i="6"/>
  <c r="L20" i="6"/>
  <c r="J20" i="6"/>
  <c r="I20" i="6"/>
  <c r="P20" i="6" s="1"/>
  <c r="H20" i="6"/>
  <c r="T20" i="6" s="1"/>
  <c r="G20" i="6"/>
  <c r="D20" i="6"/>
  <c r="M20" i="6" s="1"/>
  <c r="U19" i="6"/>
  <c r="S19" i="6"/>
  <c r="O19" i="6"/>
  <c r="M19" i="6"/>
  <c r="L19" i="6"/>
  <c r="I19" i="6"/>
  <c r="P19" i="6" s="1"/>
  <c r="H19" i="6"/>
  <c r="T19" i="6" s="1"/>
  <c r="G19" i="6"/>
  <c r="N19" i="6" s="1"/>
  <c r="Y18" i="6"/>
  <c r="U18" i="6"/>
  <c r="S18" i="6"/>
  <c r="O18" i="6"/>
  <c r="M18" i="6"/>
  <c r="L18" i="6"/>
  <c r="W18" i="6" s="1"/>
  <c r="G18" i="6"/>
  <c r="N18" i="6" s="1"/>
  <c r="AC17" i="6"/>
  <c r="Z17" i="6"/>
  <c r="AF17" i="6" s="1"/>
  <c r="AG17" i="6" s="1"/>
  <c r="W17" i="6"/>
  <c r="AA17" i="6" s="1"/>
  <c r="AB17" i="6" s="1"/>
  <c r="U17" i="6"/>
  <c r="T17" i="6"/>
  <c r="S17" i="6"/>
  <c r="O17" i="6"/>
  <c r="Y17" i="6" s="1"/>
  <c r="M17" i="6"/>
  <c r="L17" i="6"/>
  <c r="J17" i="6"/>
  <c r="Q17" i="6" s="1"/>
  <c r="G17" i="6"/>
  <c r="I17" i="6" s="1"/>
  <c r="P17" i="6" s="1"/>
  <c r="U16" i="6"/>
  <c r="S16" i="6"/>
  <c r="O16" i="6"/>
  <c r="M16" i="6"/>
  <c r="L16" i="6"/>
  <c r="G16" i="6"/>
  <c r="N16" i="6" s="1"/>
  <c r="U15" i="6"/>
  <c r="T15" i="6"/>
  <c r="S15" i="6"/>
  <c r="O15" i="6"/>
  <c r="M15" i="6"/>
  <c r="L15" i="6"/>
  <c r="J15" i="6"/>
  <c r="Q15" i="6" s="1"/>
  <c r="G15" i="6"/>
  <c r="I15" i="6" s="1"/>
  <c r="P15" i="6" s="1"/>
  <c r="U14" i="6"/>
  <c r="S14" i="6"/>
  <c r="O14" i="6"/>
  <c r="M14" i="6"/>
  <c r="L14" i="6"/>
  <c r="G14" i="6"/>
  <c r="N14" i="6" s="1"/>
  <c r="U13" i="6"/>
  <c r="T13" i="6"/>
  <c r="S13" i="6"/>
  <c r="O13" i="6"/>
  <c r="M13" i="6"/>
  <c r="L13" i="6"/>
  <c r="J13" i="6"/>
  <c r="Q13" i="6" s="1"/>
  <c r="G13" i="6"/>
  <c r="I13" i="6" s="1"/>
  <c r="P13" i="6" s="1"/>
  <c r="O12" i="6"/>
  <c r="N12" i="6"/>
  <c r="M12" i="6"/>
  <c r="L12" i="6"/>
  <c r="I12" i="6"/>
  <c r="P12" i="6" s="1"/>
  <c r="H12" i="6"/>
  <c r="U12" i="6" s="1"/>
  <c r="G12" i="6"/>
  <c r="J12" i="6" s="1"/>
  <c r="Q12" i="6" s="1"/>
  <c r="U11" i="6"/>
  <c r="Q11" i="6"/>
  <c r="N11" i="6"/>
  <c r="M11" i="6"/>
  <c r="L11" i="6"/>
  <c r="J11" i="6"/>
  <c r="I11" i="6"/>
  <c r="P11" i="6" s="1"/>
  <c r="H11" i="6"/>
  <c r="T11" i="6" s="1"/>
  <c r="X11" i="6" s="1"/>
  <c r="G11" i="6"/>
  <c r="AA10" i="6"/>
  <c r="AB10" i="6" s="1"/>
  <c r="U10" i="6"/>
  <c r="S10" i="6"/>
  <c r="W10" i="6" s="1"/>
  <c r="O10" i="6"/>
  <c r="Z10" i="6" s="1"/>
  <c r="M10" i="6"/>
  <c r="L10" i="6"/>
  <c r="G10" i="6"/>
  <c r="U9" i="6"/>
  <c r="T9" i="6"/>
  <c r="S9" i="6"/>
  <c r="O9" i="6"/>
  <c r="M9" i="6"/>
  <c r="L9" i="6"/>
  <c r="J9" i="6"/>
  <c r="Q9" i="6" s="1"/>
  <c r="I9" i="6"/>
  <c r="P9" i="6" s="1"/>
  <c r="G9" i="6"/>
  <c r="N9" i="6" s="1"/>
  <c r="U8" i="6"/>
  <c r="S8" i="6"/>
  <c r="O8" i="6"/>
  <c r="M8" i="6"/>
  <c r="L8" i="6"/>
  <c r="G8" i="6"/>
  <c r="U7" i="6"/>
  <c r="S7" i="6"/>
  <c r="Q7" i="6"/>
  <c r="O7" i="6"/>
  <c r="N7" i="6"/>
  <c r="M7" i="6"/>
  <c r="L7" i="6"/>
  <c r="J7" i="6"/>
  <c r="I7" i="6"/>
  <c r="P7" i="6" s="1"/>
  <c r="U6" i="6"/>
  <c r="S6" i="6"/>
  <c r="P6" i="6"/>
  <c r="O6" i="6"/>
  <c r="N6" i="6"/>
  <c r="M6" i="6"/>
  <c r="L6" i="6"/>
  <c r="J6" i="6"/>
  <c r="Q6" i="6" s="1"/>
  <c r="I6" i="6"/>
  <c r="U5" i="6"/>
  <c r="S5" i="6"/>
  <c r="O5" i="6"/>
  <c r="Z5" i="6" s="1"/>
  <c r="AA5" i="6" s="1"/>
  <c r="AB5" i="6" s="1"/>
  <c r="M5" i="6"/>
  <c r="L5" i="6"/>
  <c r="W5" i="6" s="1"/>
  <c r="G5" i="6"/>
  <c r="W4" i="6"/>
  <c r="U4" i="6"/>
  <c r="T4" i="6"/>
  <c r="S4" i="6"/>
  <c r="O4" i="6"/>
  <c r="AM4" i="6" s="1"/>
  <c r="M4" i="6"/>
  <c r="L4" i="6"/>
  <c r="J4" i="6"/>
  <c r="Q4" i="6" s="1"/>
  <c r="I4" i="6"/>
  <c r="P4" i="6" s="1"/>
  <c r="H4" i="6"/>
  <c r="G4" i="6"/>
  <c r="N4" i="6" s="1"/>
  <c r="D12" i="2"/>
  <c r="E12" i="2"/>
  <c r="I45" i="2"/>
  <c r="J45" i="2"/>
  <c r="H45" i="2"/>
  <c r="E37" i="2"/>
  <c r="L37" i="2" s="1"/>
  <c r="E36" i="2"/>
  <c r="L36" i="2" s="1"/>
  <c r="E35" i="2"/>
  <c r="K35" i="2" s="1"/>
  <c r="E34" i="2"/>
  <c r="G35" i="2" s="1"/>
  <c r="E10" i="2"/>
  <c r="B12" i="2"/>
  <c r="X12" i="3"/>
  <c r="X14" i="3"/>
  <c r="X19" i="3"/>
  <c r="G11" i="3"/>
  <c r="H11" i="3"/>
  <c r="I11" i="3"/>
  <c r="J11" i="3"/>
  <c r="N11" i="3"/>
  <c r="O11" i="3"/>
  <c r="P11" i="3"/>
  <c r="Q11" i="3"/>
  <c r="R11" i="3"/>
  <c r="V11" i="3"/>
  <c r="W11" i="3"/>
  <c r="W12" i="3"/>
  <c r="G13" i="3"/>
  <c r="H13" i="3"/>
  <c r="L13" i="3"/>
  <c r="M13" i="3"/>
  <c r="N13" i="3"/>
  <c r="O13" i="3"/>
  <c r="P13" i="3"/>
  <c r="T13" i="3"/>
  <c r="U13" i="3"/>
  <c r="V13" i="3"/>
  <c r="W13" i="3"/>
  <c r="W14" i="3"/>
  <c r="M15" i="3"/>
  <c r="N15" i="3"/>
  <c r="U15" i="3"/>
  <c r="V15" i="3"/>
  <c r="M16" i="3"/>
  <c r="U16" i="3"/>
  <c r="G18" i="3"/>
  <c r="H18" i="3"/>
  <c r="I18" i="3"/>
  <c r="J18" i="3"/>
  <c r="K18" i="3"/>
  <c r="O18" i="3"/>
  <c r="P18" i="3"/>
  <c r="Q18" i="3"/>
  <c r="R18" i="3"/>
  <c r="S18" i="3"/>
  <c r="W18" i="3"/>
  <c r="W19" i="3"/>
  <c r="G20" i="3"/>
  <c r="H20" i="3"/>
  <c r="I20" i="3"/>
  <c r="M20" i="3"/>
  <c r="N20" i="3"/>
  <c r="O20" i="3"/>
  <c r="P20" i="3"/>
  <c r="Q20" i="3"/>
  <c r="U20" i="3"/>
  <c r="V20" i="3"/>
  <c r="W20" i="3"/>
  <c r="G21" i="3"/>
  <c r="H21" i="3"/>
  <c r="M21" i="3"/>
  <c r="N21" i="3"/>
  <c r="O21" i="3"/>
  <c r="P21" i="3"/>
  <c r="U21" i="3"/>
  <c r="V21" i="3"/>
  <c r="W21" i="3"/>
  <c r="G22" i="3"/>
  <c r="M22" i="3"/>
  <c r="N22" i="3"/>
  <c r="O22" i="3"/>
  <c r="U22" i="3"/>
  <c r="V22" i="3"/>
  <c r="W22" i="3"/>
  <c r="M23" i="3"/>
  <c r="N23" i="3"/>
  <c r="U23" i="3"/>
  <c r="V23" i="3"/>
  <c r="M24" i="3"/>
  <c r="U24" i="3"/>
  <c r="F13" i="3"/>
  <c r="F18" i="3"/>
  <c r="F11" i="3"/>
  <c r="G10" i="3"/>
  <c r="L10" i="3"/>
  <c r="M10" i="3"/>
  <c r="N10" i="3"/>
  <c r="O10" i="3"/>
  <c r="T10" i="3"/>
  <c r="U10" i="3"/>
  <c r="V10" i="3"/>
  <c r="F10" i="3"/>
  <c r="B16" i="3"/>
  <c r="B17" i="3"/>
  <c r="B20" i="3"/>
  <c r="B21" i="3" s="1"/>
  <c r="B24" i="3"/>
  <c r="B25" i="3" s="1"/>
  <c r="D14" i="3"/>
  <c r="D15" i="3"/>
  <c r="G15" i="3" s="1"/>
  <c r="D16" i="3"/>
  <c r="N16" i="3" s="1"/>
  <c r="D17" i="3"/>
  <c r="M17" i="3" s="1"/>
  <c r="D18" i="3"/>
  <c r="L18" i="3" s="1"/>
  <c r="D19" i="3"/>
  <c r="D20" i="3"/>
  <c r="J20" i="3" s="1"/>
  <c r="D21" i="3"/>
  <c r="I21" i="3" s="1"/>
  <c r="D22" i="3"/>
  <c r="H22" i="3" s="1"/>
  <c r="D23" i="3"/>
  <c r="G23" i="3" s="1"/>
  <c r="D24" i="3"/>
  <c r="N24" i="3" s="1"/>
  <c r="D25" i="3"/>
  <c r="M25" i="3" s="1"/>
  <c r="D13" i="3"/>
  <c r="I13" i="3" s="1"/>
  <c r="D12" i="3"/>
  <c r="D11" i="3"/>
  <c r="K11" i="3" s="1"/>
  <c r="D10" i="3"/>
  <c r="H10" i="3" s="1"/>
  <c r="J27" i="5"/>
  <c r="J28" i="5" s="1"/>
  <c r="I27" i="5"/>
  <c r="I28" i="5" s="1"/>
  <c r="E27" i="5"/>
  <c r="E28" i="5" s="1"/>
  <c r="E29" i="5" s="1"/>
  <c r="O22" i="5"/>
  <c r="O17" i="5"/>
  <c r="O15" i="5"/>
  <c r="O13" i="5"/>
  <c r="N12" i="5"/>
  <c r="N27" i="5" s="1"/>
  <c r="M12" i="5"/>
  <c r="M27" i="5" s="1"/>
  <c r="L12" i="5"/>
  <c r="L27" i="5" s="1"/>
  <c r="K12" i="5"/>
  <c r="K27" i="5" s="1"/>
  <c r="K28" i="5" s="1"/>
  <c r="K29" i="5" s="1"/>
  <c r="J12" i="5"/>
  <c r="I12" i="5"/>
  <c r="H12" i="5"/>
  <c r="H27" i="5" s="1"/>
  <c r="G12" i="5"/>
  <c r="G27" i="5" s="1"/>
  <c r="O11" i="5"/>
  <c r="O10" i="5"/>
  <c r="O9" i="5"/>
  <c r="F8" i="5"/>
  <c r="F27" i="5" s="1"/>
  <c r="C28" i="3"/>
  <c r="B12" i="3"/>
  <c r="B13" i="3" s="1"/>
  <c r="G24" i="2"/>
  <c r="F24" i="2"/>
  <c r="U24" i="2"/>
  <c r="T24" i="2"/>
  <c r="T5" i="2" s="1"/>
  <c r="S24" i="2"/>
  <c r="R5" i="4" s="1"/>
  <c r="R24" i="2"/>
  <c r="Q5" i="4" s="1"/>
  <c r="Q24" i="2"/>
  <c r="P5" i="4" s="1"/>
  <c r="P24" i="2"/>
  <c r="O5" i="4" s="1"/>
  <c r="O24" i="2"/>
  <c r="N24" i="2"/>
  <c r="M5" i="4" s="1"/>
  <c r="M24" i="2"/>
  <c r="L5" i="4" s="1"/>
  <c r="L24" i="2"/>
  <c r="K5" i="4" s="1"/>
  <c r="K24" i="2"/>
  <c r="C11" i="2"/>
  <c r="B11" i="2"/>
  <c r="D10" i="2"/>
  <c r="B10" i="2"/>
  <c r="J24" i="2"/>
  <c r="L25" i="3" l="1"/>
  <c r="L17" i="3"/>
  <c r="S25" i="3"/>
  <c r="T24" i="3"/>
  <c r="L16" i="3"/>
  <c r="R25" i="3"/>
  <c r="K24" i="3"/>
  <c r="J17" i="3"/>
  <c r="K16" i="3"/>
  <c r="L15" i="3"/>
  <c r="F24" i="3"/>
  <c r="Q25" i="3"/>
  <c r="R24" i="3"/>
  <c r="K23" i="3"/>
  <c r="T22" i="3"/>
  <c r="I17" i="3"/>
  <c r="J16" i="3"/>
  <c r="S15" i="3"/>
  <c r="S10" i="3"/>
  <c r="F23" i="3"/>
  <c r="H25" i="3"/>
  <c r="R23" i="3"/>
  <c r="K22" i="3"/>
  <c r="L21" i="3"/>
  <c r="Q16" i="3"/>
  <c r="R15" i="3"/>
  <c r="J15" i="3"/>
  <c r="R10" i="3"/>
  <c r="J10" i="3"/>
  <c r="F22" i="3"/>
  <c r="W25" i="3"/>
  <c r="O25" i="3"/>
  <c r="G25" i="3"/>
  <c r="P24" i="3"/>
  <c r="H24" i="3"/>
  <c r="Q23" i="3"/>
  <c r="I23" i="3"/>
  <c r="R22" i="3"/>
  <c r="J22" i="3"/>
  <c r="S21" i="3"/>
  <c r="K21" i="3"/>
  <c r="T20" i="3"/>
  <c r="L20" i="3"/>
  <c r="V18" i="3"/>
  <c r="N18" i="3"/>
  <c r="W17" i="3"/>
  <c r="O17" i="3"/>
  <c r="G17" i="3"/>
  <c r="P16" i="3"/>
  <c r="H16" i="3"/>
  <c r="H26" i="3" s="1"/>
  <c r="D3" i="2" s="1"/>
  <c r="Q15" i="3"/>
  <c r="I15" i="3"/>
  <c r="S13" i="3"/>
  <c r="K13" i="3"/>
  <c r="U11" i="3"/>
  <c r="M11" i="3"/>
  <c r="T25" i="3"/>
  <c r="T17" i="3"/>
  <c r="F17" i="3"/>
  <c r="L24" i="3"/>
  <c r="K17" i="3"/>
  <c r="F16" i="3"/>
  <c r="S24" i="3"/>
  <c r="T23" i="3"/>
  <c r="R17" i="3"/>
  <c r="S16" i="3"/>
  <c r="T15" i="3"/>
  <c r="F15" i="3"/>
  <c r="X15" i="3" s="1"/>
  <c r="I25" i="3"/>
  <c r="S23" i="3"/>
  <c r="L22" i="3"/>
  <c r="Q17" i="3"/>
  <c r="R16" i="3"/>
  <c r="K15" i="3"/>
  <c r="K10" i="3"/>
  <c r="P25" i="3"/>
  <c r="I24" i="3"/>
  <c r="S22" i="3"/>
  <c r="H17" i="3"/>
  <c r="I16" i="3"/>
  <c r="Q10" i="3"/>
  <c r="I10" i="3"/>
  <c r="X10" i="3" s="1"/>
  <c r="F21" i="3"/>
  <c r="X21" i="3" s="1"/>
  <c r="V25" i="3"/>
  <c r="N25" i="3"/>
  <c r="W24" i="3"/>
  <c r="O24" i="3"/>
  <c r="G24" i="3"/>
  <c r="P23" i="3"/>
  <c r="H23" i="3"/>
  <c r="Q22" i="3"/>
  <c r="I22" i="3"/>
  <c r="R21" i="3"/>
  <c r="J21" i="3"/>
  <c r="S20" i="3"/>
  <c r="K20" i="3"/>
  <c r="U18" i="3"/>
  <c r="M18" i="3"/>
  <c r="X18" i="3" s="1"/>
  <c r="V17" i="3"/>
  <c r="N17" i="3"/>
  <c r="W16" i="3"/>
  <c r="O16" i="3"/>
  <c r="G16" i="3"/>
  <c r="P15" i="3"/>
  <c r="H15" i="3"/>
  <c r="R13" i="3"/>
  <c r="J13" i="3"/>
  <c r="X13" i="3" s="1"/>
  <c r="T11" i="3"/>
  <c r="L11" i="3"/>
  <c r="X11" i="3" s="1"/>
  <c r="K25" i="3"/>
  <c r="S17" i="3"/>
  <c r="T16" i="3"/>
  <c r="F25" i="3"/>
  <c r="J25" i="3"/>
  <c r="L23" i="3"/>
  <c r="J24" i="3"/>
  <c r="J26" i="3" s="1"/>
  <c r="Q24" i="3"/>
  <c r="J23" i="3"/>
  <c r="T21" i="3"/>
  <c r="P17" i="3"/>
  <c r="P10" i="3"/>
  <c r="F20" i="3"/>
  <c r="U25" i="3"/>
  <c r="V24" i="3"/>
  <c r="W23" i="3"/>
  <c r="O23" i="3"/>
  <c r="P22" i="3"/>
  <c r="Q21" i="3"/>
  <c r="R20" i="3"/>
  <c r="T18" i="3"/>
  <c r="U17" i="3"/>
  <c r="V16" i="3"/>
  <c r="W15" i="3"/>
  <c r="O15" i="3"/>
  <c r="Q13" i="3"/>
  <c r="S11" i="3"/>
  <c r="S5" i="2"/>
  <c r="T8" i="6"/>
  <c r="N8" i="6"/>
  <c r="J8" i="6"/>
  <c r="Q8" i="6" s="1"/>
  <c r="I8" i="6"/>
  <c r="P8" i="6" s="1"/>
  <c r="J30" i="6"/>
  <c r="Q30" i="6" s="1"/>
  <c r="N30" i="6"/>
  <c r="T30" i="6"/>
  <c r="I30" i="6"/>
  <c r="P30" i="6" s="1"/>
  <c r="O34" i="6"/>
  <c r="N34" i="6"/>
  <c r="M34" i="6"/>
  <c r="L34" i="6"/>
  <c r="O43" i="6"/>
  <c r="T43" i="6"/>
  <c r="U43" i="6"/>
  <c r="S43" i="6"/>
  <c r="X4" i="6"/>
  <c r="J24" i="6"/>
  <c r="Q24" i="6" s="1"/>
  <c r="N24" i="6"/>
  <c r="T24" i="6"/>
  <c r="I24" i="6"/>
  <c r="P24" i="6" s="1"/>
  <c r="I10" i="8"/>
  <c r="AA4" i="6"/>
  <c r="AB4" i="6" s="1"/>
  <c r="AE17" i="6"/>
  <c r="AI18" i="6"/>
  <c r="AL18" i="6" s="1"/>
  <c r="L23" i="6"/>
  <c r="O23" i="6"/>
  <c r="P23" i="6"/>
  <c r="N10" i="6"/>
  <c r="T10" i="6"/>
  <c r="J10" i="6"/>
  <c r="Q10" i="6" s="1"/>
  <c r="I10" i="6"/>
  <c r="P10" i="6" s="1"/>
  <c r="AD4" i="6"/>
  <c r="AI4" i="6"/>
  <c r="N32" i="6"/>
  <c r="T32" i="6"/>
  <c r="J32" i="6"/>
  <c r="Q32" i="6" s="1"/>
  <c r="I32" i="6"/>
  <c r="P32" i="6" s="1"/>
  <c r="AA18" i="6"/>
  <c r="AB18" i="6" s="1"/>
  <c r="Q34" i="6"/>
  <c r="N5" i="6"/>
  <c r="J5" i="6"/>
  <c r="Q5" i="6" s="1"/>
  <c r="T5" i="6"/>
  <c r="X5" i="6" s="1"/>
  <c r="I5" i="6"/>
  <c r="P5" i="6" s="1"/>
  <c r="AC10" i="6"/>
  <c r="AF10" i="6" s="1"/>
  <c r="AG10" i="6" s="1"/>
  <c r="AH11" i="6"/>
  <c r="AK11" i="6" s="1"/>
  <c r="X17" i="6"/>
  <c r="M23" i="6"/>
  <c r="P34" i="6"/>
  <c r="J10" i="8"/>
  <c r="J28" i="6"/>
  <c r="Q28" i="6" s="1"/>
  <c r="T28" i="6"/>
  <c r="N28" i="6"/>
  <c r="I28" i="6"/>
  <c r="P28" i="6" s="1"/>
  <c r="AC5" i="6"/>
  <c r="AF5" i="6" s="1"/>
  <c r="AG5" i="6" s="1"/>
  <c r="AE18" i="6"/>
  <c r="AM18" i="6"/>
  <c r="Z18" i="6"/>
  <c r="K10" i="8"/>
  <c r="J26" i="6"/>
  <c r="Q26" i="6" s="1"/>
  <c r="N26" i="6"/>
  <c r="T26" i="6"/>
  <c r="I26" i="6"/>
  <c r="P26" i="6" s="1"/>
  <c r="AI11" i="6"/>
  <c r="AL11" i="6" s="1"/>
  <c r="O40" i="6"/>
  <c r="D41" i="6"/>
  <c r="Q41" i="6" s="1"/>
  <c r="M40" i="6"/>
  <c r="L40" i="6"/>
  <c r="P40" i="6"/>
  <c r="O51" i="6"/>
  <c r="D52" i="6"/>
  <c r="M51" i="6"/>
  <c r="L51" i="6"/>
  <c r="AM17" i="6"/>
  <c r="AH18" i="6"/>
  <c r="AK18" i="6" s="1"/>
  <c r="J19" i="6"/>
  <c r="Q19" i="6" s="1"/>
  <c r="J22" i="6"/>
  <c r="Q22" i="6" s="1"/>
  <c r="T22" i="6"/>
  <c r="L35" i="6"/>
  <c r="J38" i="6"/>
  <c r="Q38" i="6" s="1"/>
  <c r="T38" i="6"/>
  <c r="N39" i="6"/>
  <c r="N44" i="6"/>
  <c r="L49" i="6"/>
  <c r="O50" i="6"/>
  <c r="I51" i="6"/>
  <c r="P51" i="6" s="1"/>
  <c r="I62" i="6"/>
  <c r="P62" i="6" s="1"/>
  <c r="N63" i="6"/>
  <c r="I64" i="6"/>
  <c r="P64" i="6" s="1"/>
  <c r="N65" i="6"/>
  <c r="J69" i="6"/>
  <c r="Q69" i="6" s="1"/>
  <c r="U69" i="6"/>
  <c r="I6" i="8"/>
  <c r="J62" i="6"/>
  <c r="Q62" i="6" s="1"/>
  <c r="T62" i="6"/>
  <c r="J64" i="6"/>
  <c r="Q64" i="6" s="1"/>
  <c r="T64" i="6"/>
  <c r="Q70" i="6"/>
  <c r="Z4" i="6"/>
  <c r="AH4" i="6"/>
  <c r="AM5" i="6"/>
  <c r="AM10" i="6"/>
  <c r="O11" i="6"/>
  <c r="S12" i="6"/>
  <c r="N13" i="6"/>
  <c r="I14" i="6"/>
  <c r="P14" i="6" s="1"/>
  <c r="N15" i="6"/>
  <c r="I16" i="6"/>
  <c r="P16" i="6" s="1"/>
  <c r="N17" i="6"/>
  <c r="I18" i="6"/>
  <c r="P18" i="6" s="1"/>
  <c r="O20" i="6"/>
  <c r="I21" i="6"/>
  <c r="P21" i="6" s="1"/>
  <c r="M22" i="6"/>
  <c r="N35" i="6"/>
  <c r="I37" i="6"/>
  <c r="P37" i="6" s="1"/>
  <c r="N49" i="6"/>
  <c r="Y4" i="6"/>
  <c r="AE5" i="6"/>
  <c r="AE10" i="6"/>
  <c r="T12" i="6"/>
  <c r="J14" i="6"/>
  <c r="Q14" i="6" s="1"/>
  <c r="T14" i="6"/>
  <c r="J16" i="6"/>
  <c r="Q16" i="6" s="1"/>
  <c r="T16" i="6"/>
  <c r="J18" i="6"/>
  <c r="Q18" i="6" s="1"/>
  <c r="T18" i="6"/>
  <c r="X18" i="6" s="1"/>
  <c r="AC18" i="6"/>
  <c r="J21" i="6"/>
  <c r="Q21" i="6" s="1"/>
  <c r="T21" i="6"/>
  <c r="O35" i="6"/>
  <c r="J37" i="6"/>
  <c r="Q37" i="6" s="1"/>
  <c r="T37" i="6"/>
  <c r="O49" i="6"/>
  <c r="N51" i="6"/>
  <c r="L70" i="6"/>
  <c r="Y5" i="6"/>
  <c r="Y10" i="6"/>
  <c r="S11" i="6"/>
  <c r="W11" i="6" s="1"/>
  <c r="S20" i="6"/>
  <c r="I45" i="6"/>
  <c r="P45" i="6" s="1"/>
  <c r="I47" i="6"/>
  <c r="P47" i="6" s="1"/>
  <c r="L50" i="6"/>
  <c r="I52" i="6"/>
  <c r="P52" i="6" s="1"/>
  <c r="I54" i="6"/>
  <c r="P54" i="6" s="1"/>
  <c r="I56" i="6"/>
  <c r="P56" i="6" s="1"/>
  <c r="I58" i="6"/>
  <c r="P58" i="6" s="1"/>
  <c r="I60" i="6"/>
  <c r="P60" i="6" s="1"/>
  <c r="J63" i="6"/>
  <c r="Q63" i="6" s="1"/>
  <c r="J65" i="6"/>
  <c r="Q65" i="6" s="1"/>
  <c r="J68" i="6"/>
  <c r="Q68" i="6" s="1"/>
  <c r="M70" i="6"/>
  <c r="J51" i="6"/>
  <c r="Q51" i="6" s="1"/>
  <c r="J45" i="6"/>
  <c r="Q45" i="6" s="1"/>
  <c r="J47" i="6"/>
  <c r="Q47" i="6" s="1"/>
  <c r="M50" i="6"/>
  <c r="J52" i="6"/>
  <c r="J54" i="6"/>
  <c r="Q54" i="6" s="1"/>
  <c r="J56" i="6"/>
  <c r="Q56" i="6" s="1"/>
  <c r="J58" i="6"/>
  <c r="Q58" i="6" s="1"/>
  <c r="J60" i="6"/>
  <c r="Q60" i="6" s="1"/>
  <c r="G36" i="2"/>
  <c r="F34" i="2"/>
  <c r="F35" i="2"/>
  <c r="E45" i="2"/>
  <c r="K34" i="2"/>
  <c r="L34" i="2"/>
  <c r="L35" i="2"/>
  <c r="F37" i="2"/>
  <c r="F36" i="2"/>
  <c r="G37" i="2"/>
  <c r="G45" i="2" s="1"/>
  <c r="K37" i="2"/>
  <c r="K36" i="2"/>
  <c r="E24" i="2"/>
  <c r="I24" i="2"/>
  <c r="G26" i="3"/>
  <c r="C3" i="2" s="1"/>
  <c r="C25" i="2" s="1"/>
  <c r="C26" i="2" s="1"/>
  <c r="D26" i="3"/>
  <c r="Y9" i="3"/>
  <c r="G5" i="4"/>
  <c r="H24" i="2"/>
  <c r="N5" i="4"/>
  <c r="B24" i="2"/>
  <c r="G28" i="5"/>
  <c r="G29" i="5"/>
  <c r="H28" i="5"/>
  <c r="H29" i="5" s="1"/>
  <c r="F28" i="5"/>
  <c r="F29" i="5" s="1"/>
  <c r="M28" i="5"/>
  <c r="M29" i="5" s="1"/>
  <c r="L28" i="5"/>
  <c r="L29" i="5" s="1"/>
  <c r="N28" i="5"/>
  <c r="N29" i="5" s="1"/>
  <c r="I29" i="5"/>
  <c r="O12" i="5"/>
  <c r="J29" i="5"/>
  <c r="O8" i="5"/>
  <c r="O27" i="5" s="1"/>
  <c r="J5" i="4"/>
  <c r="F5" i="4"/>
  <c r="C24" i="2"/>
  <c r="D3" i="4" l="1"/>
  <c r="D25" i="2"/>
  <c r="D26" i="2" s="1"/>
  <c r="X23" i="3"/>
  <c r="I26" i="3"/>
  <c r="E3" i="2" s="1"/>
  <c r="E25" i="2" s="1"/>
  <c r="E26" i="2" s="1"/>
  <c r="X25" i="3"/>
  <c r="X24" i="3"/>
  <c r="X20" i="3"/>
  <c r="X17" i="3"/>
  <c r="F26" i="3"/>
  <c r="B3" i="2" s="1"/>
  <c r="X16" i="3"/>
  <c r="X22" i="3"/>
  <c r="I5" i="4"/>
  <c r="E5" i="4"/>
  <c r="M35" i="2"/>
  <c r="Z11" i="6"/>
  <c r="Y11" i="6"/>
  <c r="AM11" i="6"/>
  <c r="N52" i="6"/>
  <c r="O52" i="6"/>
  <c r="M52" i="6"/>
  <c r="L52" i="6"/>
  <c r="Q52" i="6"/>
  <c r="Y72" i="6"/>
  <c r="AE4" i="6"/>
  <c r="AI17" i="6"/>
  <c r="AL17" i="6" s="1"/>
  <c r="AH17" i="6"/>
  <c r="AK17" i="6" s="1"/>
  <c r="AD17" i="6"/>
  <c r="X10" i="6"/>
  <c r="AD10" i="6" s="1"/>
  <c r="AK4" i="6"/>
  <c r="AC4" i="6"/>
  <c r="X72" i="6"/>
  <c r="M41" i="6"/>
  <c r="P41" i="6"/>
  <c r="O41" i="6"/>
  <c r="N41" i="6"/>
  <c r="D42" i="6"/>
  <c r="L41" i="6"/>
  <c r="AF18" i="6"/>
  <c r="AG18" i="6" s="1"/>
  <c r="W72" i="6"/>
  <c r="AD18" i="6"/>
  <c r="AH5" i="6"/>
  <c r="AK5" i="6" s="1"/>
  <c r="AD5" i="6"/>
  <c r="AI5" i="6"/>
  <c r="AL5" i="6" s="1"/>
  <c r="AH10" i="6"/>
  <c r="AK10" i="6" s="1"/>
  <c r="AI10" i="6"/>
  <c r="AL10" i="6" s="1"/>
  <c r="AL4" i="6"/>
  <c r="M34" i="2"/>
  <c r="M37" i="2"/>
  <c r="L45" i="2"/>
  <c r="F45" i="2"/>
  <c r="K45" i="2"/>
  <c r="M36" i="2"/>
  <c r="F3" i="2"/>
  <c r="K26" i="3"/>
  <c r="Y13" i="3"/>
  <c r="L26" i="3"/>
  <c r="H3" i="2" s="1"/>
  <c r="Y11" i="3"/>
  <c r="N26" i="3"/>
  <c r="J3" i="2" s="1"/>
  <c r="H5" i="4"/>
  <c r="B5" i="4"/>
  <c r="E30" i="5"/>
  <c r="O28" i="5"/>
  <c r="O29" i="5" s="1"/>
  <c r="O26" i="3"/>
  <c r="K3" i="2" s="1"/>
  <c r="E3" i="4"/>
  <c r="D24" i="2"/>
  <c r="C5" i="4"/>
  <c r="M26" i="3"/>
  <c r="I3" i="2" s="1"/>
  <c r="I5" i="2" s="1"/>
  <c r="B3" i="4" l="1"/>
  <c r="B25" i="2"/>
  <c r="B26" i="2" s="1"/>
  <c r="V26" i="2" s="1"/>
  <c r="I25" i="2"/>
  <c r="J5" i="2"/>
  <c r="J25" i="2"/>
  <c r="K5" i="2"/>
  <c r="K25" i="2"/>
  <c r="E29" i="2"/>
  <c r="H3" i="4"/>
  <c r="H5" i="2"/>
  <c r="H25" i="2" s="1"/>
  <c r="F3" i="4"/>
  <c r="F5" i="2"/>
  <c r="F25" i="2" s="1"/>
  <c r="C6" i="4"/>
  <c r="S5" i="4"/>
  <c r="L72" i="6"/>
  <c r="M42" i="6"/>
  <c r="M72" i="6" s="1"/>
  <c r="L42" i="6"/>
  <c r="O42" i="6"/>
  <c r="O72" i="6" s="1"/>
  <c r="Z72" i="6" s="1"/>
  <c r="AA72" i="6" s="1"/>
  <c r="AB72" i="6" s="1"/>
  <c r="N42" i="6"/>
  <c r="N72" i="6" s="1"/>
  <c r="Q42" i="6"/>
  <c r="Q72" i="6" s="1"/>
  <c r="P42" i="6"/>
  <c r="P72" i="6" s="1"/>
  <c r="AH72" i="6"/>
  <c r="AI72" i="6"/>
  <c r="AF4" i="6"/>
  <c r="AA11" i="6"/>
  <c r="M45" i="2"/>
  <c r="H29" i="2"/>
  <c r="I3" i="4"/>
  <c r="G3" i="2"/>
  <c r="F29" i="2"/>
  <c r="B29" i="2"/>
  <c r="I29" i="2"/>
  <c r="P26" i="3"/>
  <c r="L3" i="2" s="1"/>
  <c r="C29" i="2"/>
  <c r="C3" i="4"/>
  <c r="C4" i="4" s="1"/>
  <c r="D4" i="4" s="1"/>
  <c r="E4" i="4" s="1"/>
  <c r="D5" i="4"/>
  <c r="D29" i="2"/>
  <c r="J3" i="4"/>
  <c r="L3" i="4" l="1"/>
  <c r="L5" i="2"/>
  <c r="L25" i="2" s="1"/>
  <c r="G29" i="2"/>
  <c r="G5" i="2"/>
  <c r="G25" i="2" s="1"/>
  <c r="F4" i="4"/>
  <c r="D6" i="4"/>
  <c r="E6" i="4" s="1"/>
  <c r="S6" i="4" s="1"/>
  <c r="AG4" i="6"/>
  <c r="AB11" i="6"/>
  <c r="AE11" i="6" s="1"/>
  <c r="AE72" i="6" s="1"/>
  <c r="AD11" i="6"/>
  <c r="AD72" i="6" s="1"/>
  <c r="AC11" i="6"/>
  <c r="G3" i="4"/>
  <c r="K3" i="4"/>
  <c r="Q26" i="3"/>
  <c r="M3" i="2" s="1"/>
  <c r="M3" i="4" l="1"/>
  <c r="M5" i="2"/>
  <c r="M25" i="2" s="1"/>
  <c r="AF11" i="6"/>
  <c r="AC72" i="6"/>
  <c r="G4" i="4"/>
  <c r="H4" i="4" s="1"/>
  <c r="H7" i="4" s="1"/>
  <c r="R26" i="3"/>
  <c r="N3" i="2" s="1"/>
  <c r="N3" i="4" l="1"/>
  <c r="N5" i="2"/>
  <c r="N25" i="2" s="1"/>
  <c r="AG11" i="6"/>
  <c r="AG72" i="6" s="1"/>
  <c r="AF72" i="6"/>
  <c r="I4" i="4"/>
  <c r="J4" i="4" s="1"/>
  <c r="K4" i="4" s="1"/>
  <c r="L4" i="4" s="1"/>
  <c r="M4" i="4" s="1"/>
  <c r="Y12" i="3"/>
  <c r="S26" i="3"/>
  <c r="O3" i="2" s="1"/>
  <c r="N4" i="4" l="1"/>
  <c r="O3" i="4"/>
  <c r="O5" i="2"/>
  <c r="O25" i="2" s="1"/>
  <c r="O4" i="4"/>
  <c r="T26" i="3"/>
  <c r="P3" i="2" l="1"/>
  <c r="U26" i="3"/>
  <c r="Q3" i="2" s="1"/>
  <c r="Q3" i="4" l="1"/>
  <c r="Q5" i="2"/>
  <c r="Q25" i="2" s="1"/>
  <c r="P3" i="4"/>
  <c r="P4" i="4" s="1"/>
  <c r="Q4" i="4" s="1"/>
  <c r="P5" i="2"/>
  <c r="P25" i="2" s="1"/>
  <c r="V26" i="3"/>
  <c r="R3" i="2" l="1"/>
  <c r="X26" i="3"/>
  <c r="Y26" i="3"/>
  <c r="R3" i="4" l="1"/>
  <c r="S3" i="4" s="1"/>
  <c r="R5" i="2"/>
  <c r="R25" i="2" s="1"/>
  <c r="R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F9" authorId="0" shapeId="0" xr:uid="{EB3784CB-2F2C-4770-AD86-FF33FCB64FAD}">
      <text>
        <r>
          <rPr>
            <b/>
            <sz val="9"/>
            <color indexed="81"/>
            <rFont val="Tahoma"/>
            <family val="2"/>
          </rPr>
          <t>Administrator:</t>
        </r>
        <r>
          <rPr>
            <sz val="9"/>
            <color indexed="81"/>
            <rFont val="Tahoma"/>
            <family val="2"/>
          </rPr>
          <t xml:space="preserve">
P.O Amedement
</t>
        </r>
      </text>
    </comment>
  </commentList>
</comments>
</file>

<file path=xl/sharedStrings.xml><?xml version="1.0" encoding="utf-8"?>
<sst xmlns="http://schemas.openxmlformats.org/spreadsheetml/2006/main" count="432" uniqueCount="259">
  <si>
    <t>Revised on - 16-02-2023</t>
  </si>
  <si>
    <t>Project Budget with Cash-Flow</t>
  </si>
  <si>
    <t>Month</t>
  </si>
  <si>
    <t xml:space="preserve">Planned Budget (EXCLUDING GST) </t>
  </si>
  <si>
    <t>YY</t>
  </si>
  <si>
    <t>Work Done - Cost Status</t>
  </si>
  <si>
    <t>Work Description</t>
  </si>
  <si>
    <t>MONTH</t>
  </si>
  <si>
    <t>Civil Works</t>
  </si>
  <si>
    <t>Actual Work Done (EXCLUDING GST)</t>
  </si>
  <si>
    <t>XX - YY</t>
  </si>
  <si>
    <t>Difference (Planned Vs Actual)</t>
  </si>
  <si>
    <t xml:space="preserve">Month </t>
  </si>
  <si>
    <t>Difference</t>
  </si>
  <si>
    <t xml:space="preserve">Invoice Month </t>
  </si>
  <si>
    <t>Civil Construction Works</t>
  </si>
  <si>
    <t>RA BILL</t>
  </si>
  <si>
    <t>Deduction</t>
  </si>
  <si>
    <t>Hold</t>
  </si>
  <si>
    <t>Taxes</t>
  </si>
  <si>
    <t xml:space="preserve">COP for Amount </t>
  </si>
  <si>
    <t xml:space="preserve">Vendor </t>
  </si>
  <si>
    <t>RA Bill</t>
  </si>
  <si>
    <t xml:space="preserve">Type of Work </t>
  </si>
  <si>
    <t xml:space="preserve">Work Done Amount </t>
  </si>
  <si>
    <t>Retention (5%/10% of work done cost)</t>
  </si>
  <si>
    <t>Advance (6.25% on Prorata basis)</t>
  </si>
  <si>
    <t>Others</t>
  </si>
  <si>
    <t>Amount</t>
  </si>
  <si>
    <t>Release</t>
  </si>
  <si>
    <t>SGST@9%</t>
  </si>
  <si>
    <t>CGST@9%</t>
  </si>
  <si>
    <t>ADVANCE</t>
  </si>
  <si>
    <t>Mobilization</t>
  </si>
  <si>
    <t>RA 01</t>
  </si>
  <si>
    <t>KB-02 Works</t>
  </si>
  <si>
    <t>Temporary Road and Culvert Works</t>
  </si>
  <si>
    <t>RA 02</t>
  </si>
  <si>
    <t>RA 03</t>
  </si>
  <si>
    <r>
      <t xml:space="preserve">TENTATIVE CASH FLOW IN </t>
    </r>
    <r>
      <rPr>
        <b/>
        <sz val="14"/>
        <color rgb="FFFF0000"/>
        <rFont val="Aptos Narrow"/>
        <family val="2"/>
        <scheme val="minor"/>
      </rPr>
      <t>(INR)</t>
    </r>
    <r>
      <rPr>
        <b/>
        <sz val="14"/>
        <rFont val="Aptos Narrow"/>
        <family val="2"/>
        <scheme val="minor"/>
      </rPr>
      <t xml:space="preserve"> </t>
    </r>
  </si>
  <si>
    <t>Q3-2022</t>
  </si>
  <si>
    <t>Sr. No.</t>
  </si>
  <si>
    <t>Structure</t>
  </si>
  <si>
    <t>Total</t>
  </si>
  <si>
    <t xml:space="preserve"> AMOUNT IN INR</t>
  </si>
  <si>
    <t>Note: Above amounts are excluding of contingency</t>
  </si>
  <si>
    <t>Planned Budget (EXCLUDING GST) Cumulative</t>
  </si>
  <si>
    <t>Actual Work Done (EXCLUDING GST) Cumulative</t>
  </si>
  <si>
    <t xml:space="preserve">Budget WBS </t>
  </si>
  <si>
    <t xml:space="preserve">Budgeted Amount  </t>
  </si>
  <si>
    <t xml:space="preserve">Work Order Amount </t>
  </si>
  <si>
    <t xml:space="preserve">Certifed Amount </t>
  </si>
  <si>
    <t>FORECASTED / NON TENDERED ITEMS</t>
  </si>
  <si>
    <t>Basic Rate Diffrence ( BRD )</t>
  </si>
  <si>
    <t xml:space="preserve">Total </t>
  </si>
  <si>
    <t xml:space="preserve">Sr No  </t>
  </si>
  <si>
    <t xml:space="preserve">Description </t>
  </si>
  <si>
    <t xml:space="preserve">Name of Stackholder </t>
  </si>
  <si>
    <t xml:space="preserve">Amount </t>
  </si>
  <si>
    <t xml:space="preserve">Actual WO Amount  
 (Basic ) </t>
  </si>
  <si>
    <t xml:space="preserve">Certified Amount 
 ( Basic ) </t>
  </si>
  <si>
    <t xml:space="preserve">Fore Casted ( Based on GFC ) </t>
  </si>
  <si>
    <t>Non Tendered Items</t>
  </si>
  <si>
    <t xml:space="preserve">Steel 
( Till Date ) </t>
  </si>
  <si>
    <t xml:space="preserve">Cement 
( Till  Date ) </t>
  </si>
  <si>
    <t xml:space="preserve">Gross Total Amount
 ( Projected ) </t>
  </si>
  <si>
    <t xml:space="preserve">Addition </t>
  </si>
  <si>
    <t xml:space="preserve">Reduction </t>
  </si>
  <si>
    <t>Excess</t>
  </si>
  <si>
    <t xml:space="preserve">Saving </t>
  </si>
  <si>
    <t xml:space="preserve">Project  Development  Consultancy  </t>
  </si>
  <si>
    <t xml:space="preserve">SPDC </t>
  </si>
  <si>
    <t xml:space="preserve">Project Consultant </t>
  </si>
  <si>
    <t xml:space="preserve">AK Consultant  </t>
  </si>
  <si>
    <t xml:space="preserve">Vishwas Patel  </t>
  </si>
  <si>
    <t xml:space="preserve">Project Package  </t>
  </si>
  <si>
    <t>Construction cost for Dormitory blocks</t>
  </si>
  <si>
    <t xml:space="preserve">M/s Bhavna Infra  </t>
  </si>
  <si>
    <t>3.1.1</t>
  </si>
  <si>
    <t>Anti-termite service</t>
  </si>
  <si>
    <t>M/s Surti Pest-Control</t>
  </si>
  <si>
    <t>Road development</t>
  </si>
  <si>
    <t>Borewell</t>
  </si>
  <si>
    <t>External Electrification ( power connection cost )</t>
  </si>
  <si>
    <t>3.4.1</t>
  </si>
  <si>
    <t xml:space="preserve">Temporary Power Connection </t>
  </si>
  <si>
    <t>M/s. Indian Electricals</t>
  </si>
  <si>
    <t>UG Tank</t>
  </si>
  <si>
    <t>External Drainage network &amp; STP</t>
  </si>
  <si>
    <t>Soil filling (within Plot area)</t>
  </si>
  <si>
    <t>Compound wall (Precast)</t>
  </si>
  <si>
    <t xml:space="preserve">Electrical Package  </t>
  </si>
  <si>
    <t xml:space="preserve">Pearl Electricals </t>
  </si>
  <si>
    <t xml:space="preserve">Plumbing  Package </t>
  </si>
  <si>
    <t xml:space="preserve">Furniture Package  </t>
  </si>
  <si>
    <t>Aluminum Package</t>
  </si>
  <si>
    <t xml:space="preserve">Fire Package </t>
  </si>
  <si>
    <t xml:space="preserve">Total Net Project Cost  : </t>
  </si>
  <si>
    <t xml:space="preserve">GST 18 % : </t>
  </si>
  <si>
    <t xml:space="preserve">Total Project Cost  : </t>
  </si>
  <si>
    <t xml:space="preserve">Expected Over Budget/ Reaminaing  in Project Compare to Budget Value  : </t>
  </si>
  <si>
    <t>Project Development Consultancy</t>
  </si>
  <si>
    <t>Anti Termite Service</t>
  </si>
  <si>
    <t>Q4-2025</t>
  </si>
  <si>
    <t>Q1-2026</t>
  </si>
  <si>
    <t>Q4-2026</t>
  </si>
  <si>
    <t>Q2-2026</t>
  </si>
  <si>
    <t>Q3-2026</t>
  </si>
  <si>
    <t>Q1-2027</t>
  </si>
  <si>
    <t>M/S Bhavna Infra</t>
  </si>
  <si>
    <t xml:space="preserve">Dormatory </t>
  </si>
  <si>
    <t>Total - Civil Works</t>
  </si>
  <si>
    <t>ITEM NO.</t>
  </si>
  <si>
    <t>Item of Work</t>
  </si>
  <si>
    <t>UOM</t>
  </si>
  <si>
    <t>RATE</t>
  </si>
  <si>
    <t xml:space="preserve">BOQ Qty </t>
  </si>
  <si>
    <t>Extra Itmes Qty</t>
  </si>
  <si>
    <t xml:space="preserve">GFC Qty </t>
  </si>
  <si>
    <t>Achived QTY</t>
  </si>
  <si>
    <t xml:space="preserve">Excess Qty ( BOQ Vs GFC ) </t>
  </si>
  <si>
    <t xml:space="preserve">Saving Qty ( BOQ Vs GFC ) </t>
  </si>
  <si>
    <t xml:space="preserve">Certifed Qty  ( Inoice ) </t>
  </si>
  <si>
    <t xml:space="preserve">BOQ Cost </t>
  </si>
  <si>
    <t xml:space="preserve">Extra Item Cost </t>
  </si>
  <si>
    <t xml:space="preserve">GFC Cost </t>
  </si>
  <si>
    <t xml:space="preserve">Achived Cost </t>
  </si>
  <si>
    <t>Excess 
 ( BOQ Vs GFC ) Cost</t>
  </si>
  <si>
    <t>Saving  
 ( BOQ Vs GFC ) Cost</t>
  </si>
  <si>
    <t xml:space="preserve">Certified Invoice Cost </t>
  </si>
  <si>
    <t xml:space="preserve">% of Progress against BOQ  </t>
  </si>
  <si>
    <t xml:space="preserve">% of Progress against GFC  </t>
  </si>
  <si>
    <t xml:space="preserve">% of Progress against Achived  </t>
  </si>
  <si>
    <t xml:space="preserve">% of Progress against Certified Qty  </t>
  </si>
  <si>
    <t xml:space="preserve">Earned Value ( EV) agaisnt BOQ cost </t>
  </si>
  <si>
    <t xml:space="preserve">Earned Value ( EV) agaisnt GFC cost </t>
  </si>
  <si>
    <t xml:space="preserve">Earned Value ( EV) agaisnt Certifed Invoice cost </t>
  </si>
  <si>
    <t>Actual Cost (AC)</t>
  </si>
  <si>
    <t xml:space="preserve">CPI 
( Cost Perfromance Index ) </t>
  </si>
  <si>
    <t xml:space="preserve">CPI Status </t>
  </si>
  <si>
    <t>ETC ( Against BOQ )</t>
  </si>
  <si>
    <t>ETC ( Against GFC )</t>
  </si>
  <si>
    <t>ETC ( Against Certified Invoice ) )</t>
  </si>
  <si>
    <t>EAC</t>
  </si>
  <si>
    <t>VAC</t>
  </si>
  <si>
    <t xml:space="preserve">Variance ( BOQ vs GFC) </t>
  </si>
  <si>
    <t xml:space="preserve">Variance ( GFC vs Achived) </t>
  </si>
  <si>
    <t xml:space="preserve">Variance ( GFC vs Certified Invoice) </t>
  </si>
  <si>
    <t>Cost Over turn 
(BOQ Vs  Variance )</t>
  </si>
  <si>
    <t>Cost Over turn 
(GFC Vs  Variance )</t>
  </si>
  <si>
    <t>Cost Over turn 
(GFC Vs  Certifed Invoice )</t>
  </si>
  <si>
    <t xml:space="preserve">Qty </t>
  </si>
  <si>
    <t xml:space="preserve">Cost </t>
  </si>
  <si>
    <t>Progress</t>
  </si>
  <si>
    <t xml:space="preserve">Earned Value </t>
  </si>
  <si>
    <t>Cost Tracking &amp;  Monitor</t>
  </si>
  <si>
    <t>Estimate to Complete</t>
  </si>
  <si>
    <t>Estimate at Completion</t>
  </si>
  <si>
    <t>Variance at Completion</t>
  </si>
  <si>
    <t>Variations</t>
  </si>
  <si>
    <t xml:space="preserve">Cost Over run </t>
  </si>
  <si>
    <t xml:space="preserve">Excavation in all types of soil viz., sand, clay, gravel, Clayton, mud, slush other than rock for foundation of walls, columns, cable trenches, equipment foundation, etc. as per the Drawing, including shorting, dewatering subsoil water/Rain water wherever required and disposing off surplus materials (after utilization of back filling) selected earth within the site (Maximum lead 500mtr) at locations as directed by the engineer-in-charge including Back filling in foundation with approved materials inclusive of spreading in layers 150 mm thick,  consolidating each layer by ramming, watering, Compacting the same with Vibro roller or in space  constraints vibrating plate compactor etc. complete. (Minimum 1.60 gms / Cu.cm.) ( PCC area will be measured and paid for excavation &amp; Backfilling ) </t>
  </si>
  <si>
    <t>-do 0.0 mt to 1.5 mt</t>
  </si>
  <si>
    <t>Cmt</t>
  </si>
  <si>
    <t>-do 1.5 mt to 3.0 mt</t>
  </si>
  <si>
    <t>-do 3.0 mt to 4.5 mt</t>
  </si>
  <si>
    <r>
      <t xml:space="preserve">Filling in plinth with approved materials like yellow earth/murrum in layers of 150 mm thickness, consolidating each layer by ramming and watering and rolling with vibro roller for a compaction to the modified proctor density of 95 percent of approved borrow pit. (Minimum 1.60 gms / Cu.cm.) 
- </t>
    </r>
    <r>
      <rPr>
        <b/>
        <sz val="14"/>
        <rFont val="Artifakt Element Light"/>
        <family val="2"/>
      </rPr>
      <t>Approved Good quality Earth brought from Outside</t>
    </r>
  </si>
  <si>
    <t xml:space="preserve">'Filling in plinth/plot with approved materials like yellow earth/murrum in layers of 150 mm thickness, consolidating each layer by ramming and watering and rolling with vibro roller for a compaction to the modified proctor density of 95 percent of approved borrow pit. (Minimum 1.60 gms / Cu.cm.) 
Selected earth obtained from available plote area - cutting and filling </t>
  </si>
  <si>
    <t>Providing and laying of avg 0.23 mm thick rubble soling using avg 90 mm thick rubble , including Compacting and filling the interstices with good quality approved earth/stone dust as binding material, spreading, watering, and consolidation of binding materials as directed by the Engineer-in charge</t>
  </si>
  <si>
    <t>Providing, mixing and laying plain cement concrete with avg 20-40 mm nominal size graded aggregates of approved quality as a levelling course under the column foundation, wall foundation, cable trenches, other trenches, machinery foundations, raft foundations, pipe supports, plinth beam, as floor sub base, etc. including ramming, levelling, curing etc. complete at any level (i.e. up to any depth or height from ground level). Please consider the cost of form work if required any. - M10</t>
  </si>
  <si>
    <t>Providing, mixing, Batching, Transporting through Transit Mixers, Pumping and laying plain / Reinforced cement concrete M:25 with 20 mm and downsized aggregate in all type of works such as foundation and superstructures, footings, pile caps, raft beams, columns, runners, coping beam, walls, slabs, lintels, tie-beams, canopies, staircase, fins, ledge, etc. in any pattern &amp; shapes all including making openings, leaving sleeves in pedestals, columns, beams, slabs,pocket etc. complete as per the drawing and specification excluding  the cost of formwork.  and excluding the cost of Reinforcement.
NOTE: Minimum Cement content 350Kgs/Cum. For Moderate condition
-up to PL</t>
  </si>
  <si>
    <t>-do PL to G.F. Slab</t>
  </si>
  <si>
    <t>-do G.F. to F.F. Slab</t>
  </si>
  <si>
    <t>-do F.F. to S.F. Slab</t>
  </si>
  <si>
    <t>-do S.F. to T.F. Slab</t>
  </si>
  <si>
    <t>-do T.F. to F.F. Slab</t>
  </si>
  <si>
    <t>Providing, cutting, bending, binding, laying, transporting and fixing in position at up to any levels (depth &amp; height) reinforcement bars for all concrete works including 16 gauge annealed M.S. wire, spacer blocks of C.M. 1:2 with embedded binding wire of suitable length, protective coat of neat cement slurry to be applied as per Engineer-in-charge etc. complete. Bar bending schedule to be prepared by contractor. Any variation in reinforcement will be adjusted as per B.B.S. (Bar bending schedule) subject to approval and joint record by Engineer-in-Charge.- FE 500 TMT</t>
  </si>
  <si>
    <t>M.T.</t>
  </si>
  <si>
    <t>Providing &amp; fixing in position and removing any pattern and shape of good quality plastic coated high density shuttering plywood/MS formwork for all plain / reinforced concrete works including necessary centering and shuttering, applying approved shuttering oil, etc. complete as directed. No extra to be paid for curved, circular shuttering and staging for direct height if required for any level.</t>
  </si>
  <si>
    <t>Smt</t>
  </si>
  <si>
    <t>Providing and laying first class brick masonry works in C.M. 1:6 for foundation up to any depth from ground level and plinth up to any height from ground level including scaffolding, watering, racking out joints, etc. complete in all respect. (Minimum compressive strength of the brick shall be 
50 kg./Sq.Cm.) - do up to PL</t>
  </si>
  <si>
    <r>
      <t xml:space="preserve">Providing and laying brick masonry work for a </t>
    </r>
    <r>
      <rPr>
        <b/>
        <sz val="14"/>
        <rFont val="Artifakt Element Light"/>
        <family val="2"/>
      </rPr>
      <t>115 mm thick partition wall</t>
    </r>
    <r>
      <rPr>
        <sz val="14"/>
        <rFont val="Artifakt Element Light"/>
        <family val="2"/>
      </rPr>
      <t xml:space="preserve"> in C.M. 1:4 at all depth &amp; heights including laying horizontally 2 nos. 8 mm. Dia. Reinforcement BARS at every 4th course including scaffolding, curing, etc. complete in all respect. (Reinforcement Bars to be paidseparately). (Minimum compressive strength of the brick shall be 50 kg. /Sq.Cm).- do up to GF</t>
    </r>
  </si>
  <si>
    <t>-do F.F. to Terrace</t>
  </si>
  <si>
    <t xml:space="preserve">Providing and laying 12 mm thick cement plaster to all surfaces of brick masonry, and R.C.C. in C.M. 1:4 finished smooth with cement punning including scaffolding, racking of joints, racking of RCC surface, curing, etc. complete including providing and fixing G.I. chicken wire mesh either side of joint of the junction of R.C.C. / P.C.C. and masonry, Bonding chemical etc. as directed by Engineer-in-Charge. The item is inclusive of grooves up to 12 x 12mm, drip moulds (50 mm wide x 12 mm thick), bands of any width etc. complete.- do up to PL </t>
  </si>
  <si>
    <t>Providing and laying 20 mm thick. Double coat sand faced plaster in 2 coats over masonry surfaces, concrete surfaces, etc.  First coat 15 mm thick in C.M. 1:4  &amp; second coat of min. 5 mm thick in C.M. 1:2 at all heights including scaffolding, racking of concrete / masonry surfaces, curing, etc. complete including providing and fixing G.I. chicken wire mesh of 150mm overlap either side of joint of the junction of R.C.C. / P.C.C. and masonry, Bonding chemical as directed by Engineer-in-Charge. The item is inclusive of grooves up to 12 x 12mm, drip moulds (50x12 mm), bands of any width etc. complete. Approved by the consultant.(i.e. up to any depth or height from ground level)</t>
  </si>
  <si>
    <t>Providing avg  20 mm th. Water proof cement plaster in c.m. (1:3) and pure cement finish using approved quality water proofing compound at the rate of 1 kg per bag of cement incl. watering, curing and making  water proof giving the test of water proofness etc. comp. as directed.</t>
  </si>
  <si>
    <t xml:space="preserve">Providing and applying two coats of acrylic exterior weather paint on out side of wall surface of approved quality paint like "APEX" ULTIMA brand make &amp; required shade after thoroughly brushing the surface free from mortar &amp; scrapping old white wash/snow sem or oil painted surface inc. scaffolding, cleaning the wall &amp; preparing the surface even &amp; smooth, filling the cracks incl. applying one coat of white priming coat of reputed brand as suggested by Engg. etc. comp.as directed. </t>
  </si>
  <si>
    <t>Providing &amp; applying two coat of apporved quality oil bound distemper to give an even shade using Asian, Nerolac, Burger or equivallent brand  of required shade approved by Higher Authority incl. applying two coats of approved quality putty after throughly brushing the surface to clean the mortar drops or any other foreign materials to give smooth surface to the wall incl. applying one coat of approved quality primer cleaning the putty suface by using sand paper etc. comp. as directed. (Rate includes cost of  colour, primer, required scaffolding, watering, sand paper or any other equipments required to given an even &amp; good look)includingApplying Two Coats of Birla (white cement based) or Asian Acrylic Lappy (Putty) and two coats of primer of approved brand and manufacture on New Wall Surface and ceiling to give an even shade including thoroughly brushing the surface free from mortar dropping and other foreign matter and sand papered smooth.</t>
  </si>
  <si>
    <t>Prov. &amp; laying Digital 24" x 24" double charge mat Finish Vitrified 10 mm thick tiles flooring laid on bed of 20mm (Average) base of Cement Mortar 1:6 (1-Cement : 6 Coarse Sand) on new surface  and jointed with colour cement slurry including finished with flush pointing &amp; cleaning the surface etc. completed of any shade approved by Higher Authority of approved brands like Somani ,Rak, Asian, Varmora etc. - up to GF</t>
  </si>
  <si>
    <t>Providing &amp; laying Digital 24" x 24" double charge  Glossy, mat or Rustic Vitrified 10mm thick  tiles in Skirting, dedo, wall, riser etc as per approved pattern &amp; design &amp; laid over previously prepared 12 mm th. cement plaster in cement mortar (1:3) surface joint with  white/coloured cement slurry complete. Shade &amp; Size as per detailed drawing and approved by Higher authority of approved brands like Somani ,Rak, City, Sun Heart,Marbito  as directed by Engineer in charge. - up to GF</t>
  </si>
  <si>
    <t>Rmt</t>
  </si>
  <si>
    <t>Providing &amp; laying  Antiskid Vitrified 10mm thick tiles flooring, treads of steps and landing  laid on bed of 20mm (Average) base of Cement Mortar 1:6 (1-Cement : 6 Coarse Sand) on new surface  and jointed with colour cement slurry including finished with flush pointing &amp; cleaning the surface etc. completed of any Shade and approved by Higher Authority of approved brands like Somani ,Rak, City, Sun Heart etc. &amp; Size as per detailed drawing and as directed by Engineer in charge.</t>
  </si>
  <si>
    <t>Providing &amp; laying Antiskid Vitrified 10mm thick  tiles in Skirting, dedo, wall, riser etc as per approved pattern &amp; design &amp; laid over previously prepared 12 mm th. cement plaster in cement mortar (1:3) surface joint with  white/coloured cement slurry complete. Shade and approved by Higher Authority of approved brands like Somani ,Rak, City, Sun Heart etc. &amp; Size as per detailed drawing and as directed by Engineer in charge.</t>
  </si>
  <si>
    <t>Providing &amp; laying avg 20 mm thick polished Kotah stone in single piece in Step/Riser,seal &amp; james of doors &amp; windows laid over 10 mm th. Cement mortar 1:3 &amp; joint with colour cement slurry with mathcing pigment incl. rubbing &amp; polishing incl. rounding the edges etc. comp. as directed.</t>
  </si>
  <si>
    <t>Providing and laying china mosaic type water proofing treatment on terrace incl. (a) applying neat cement slurry 2.75 kg/ sqm. of cement admixed with water proofing compound after cleaning the surface (b) laying cement concrete using brick bats 25 to 100 mm size with 50 % of C.M. 1:5 (1 cement : 5 coarse sand) admised with water proofing compound over 20 mm thick layer of C.M. 1.5 to required slope including rounding of junctions of walls and slab (c) After two days of proper curing, a second coat of cement slurry (d) &amp; laying white glazed china mozaic flooring using of first quality white glazed tiles (should not less than 6 mm thick) of proper gradient over 20 mm th. cement mortar (1:1) floor bedding with neat cement slurry incl. jointing with white cement incl. watering, curing (e) After finishing the whole terrace shall be flooded with water for a period of two weeks, Stamp paper guarantee of 10 years to be furnished before receiving any payment from the cilent. (Only surface area should be measure for payment)</t>
  </si>
  <si>
    <t>P/L Inida type Water proofing</t>
  </si>
  <si>
    <t>Providing &amp; fixing 35mm.th. Flush Door Solid Double Core type Both Face water proof Commarcial/Marin Ply  &amp; 1.5 mm th.laminate  shall be pasted on both side with adhesives as specified by the manufacturers. The laminate shall be as per approved shade &amp; texture, of make incl. Sal wood frames of finished size 12cm x 7cm.incl. S.S. Hinges ,S.S. Handle,Aldrop,Tower Bolt with nessary screws &amp; Anodized aluminum fixtures &amp; fastenings  as per Drawing, Approve by Architect/EIC. For all Floor</t>
  </si>
  <si>
    <t>Providing &amp; fixing M.S. Pipe railing of 50mm dia pipe not less than 18guage, in 3 rows supported by M.S. Pipe of 50mm dia at every corners &amp; 1.5 mt C/C incl. concrete block  incl. 16 guage M.S. sheet using required cutting, jointing, welding, threading, drilling &amp; fixing etc. comp. as directed.(For Staircase)</t>
  </si>
  <si>
    <t>Providing, fixing and construction of  sand witch type platform of 18 mm thick Granite polished stone top, 100 mm  wide edge moulded Facia Patti with 25mm thick  prepolished Kota stone of uniform size and colour for bottom &amp; supports at 75 cm interval including necessary cement  mortar 1:2  Kota shall be fixed  in cement joints and pointing as specified in Kitchen / Pantry / Counter / Laboratory etc   with necessary making of edges, polishing curing daily mopping with water and kerosene etc comp as directed of Engineer-in-charge. (Measured only vision finished top plan area)</t>
  </si>
  <si>
    <t xml:space="preserve">Extra Items : </t>
  </si>
  <si>
    <t>Providing and applying anti-termite treatment by chemical emulsion (Chlorpyrifos 20% EC @ 1% concentration / Imidacloprid 30.5% SC @ 0.05%) as per IS:6313 (Part II) to bottom and sides of foundation trenches, plinth fillings, sunken floor slabs, and other vulnerable areas, at the rate of 5 to 7.5 litres/sqm, complete with materials, labour, tools, safety measures, and as directed by Engineer-in-Charge.</t>
  </si>
  <si>
    <t>Sqm</t>
  </si>
  <si>
    <t>Providing and filling in sunken floor areas with clean river sand conforming to IS:383, in layers not exceeding 200 mm, each layer well-watered, rammed and compacted, surface dressed and finished to required slopes and levels, including cost of materials, transportation, labour, royalties, taxes, and all leads &amp; lifts complete as per specifications and direction of Engineer-in-Charge.</t>
  </si>
  <si>
    <t>Cum</t>
  </si>
  <si>
    <t>Fabricating, supplying, and fixing MS duct grills of approved design, made from MS angle/flat sections as per IS:2062, including cutting, welding, grinding, drilling, anchoring with holdfasts, alignment, and proper fixing, surface cleaned and painted with one coat of red oxide zinc chromate primer (IS:2074) and two coats of synthetic enamel paint (IS:2932) of approved shade, complete in all respects as per drawing, specifications, and direction of Engineer-in-Charge.</t>
  </si>
  <si>
    <t>MT</t>
  </si>
  <si>
    <t>Supply, fabrication and fixing of factory-made Solid PVC/uPVC single-leaf door with 45 mm thick multi-chamber uPVC shutter, uPVC frame (50×70 mm) with GI/MS reinforcement and EPDM seals, shutter reinforced with GI inserts, fitted with stainless steel hardware (3 hinges, 1 mortise lock with handle set, 1 tower bolt), all joints sealed with silicone, laminated/plain finish with protective film, including all materials, labour, installation, alignment and handover as per manufacturer’s specification.</t>
  </si>
  <si>
    <t>Total Amount</t>
  </si>
  <si>
    <t>Sr.No</t>
  </si>
  <si>
    <t>Description</t>
  </si>
  <si>
    <t>Vendor Name</t>
  </si>
  <si>
    <t>Purchase No</t>
  </si>
  <si>
    <t>Steel Purchase Details</t>
  </si>
  <si>
    <t>Dia Of Bar</t>
  </si>
  <si>
    <t>Qty.</t>
  </si>
  <si>
    <t>Basic Rate</t>
  </si>
  <si>
    <t>Purchase Rate</t>
  </si>
  <si>
    <t>Basic Rate Amount</t>
  </si>
  <si>
    <t>Purchase Rate Amount</t>
  </si>
  <si>
    <t xml:space="preserve">Excess Amount  </t>
  </si>
  <si>
    <t xml:space="preserve">Saving Amount  </t>
  </si>
  <si>
    <t>TMT Bars Fe500</t>
  </si>
  <si>
    <t>Vasupujya Enterprise</t>
  </si>
  <si>
    <t>1st Purchase</t>
  </si>
  <si>
    <t>Steel Solution</t>
  </si>
  <si>
    <t>2nd Purchase</t>
  </si>
  <si>
    <t>TMT Bars Fe550</t>
  </si>
  <si>
    <t>3rd Purchase</t>
  </si>
  <si>
    <t xml:space="preserve">Steel House </t>
  </si>
  <si>
    <t>4th Purchase</t>
  </si>
  <si>
    <t>5th Purchase</t>
  </si>
  <si>
    <t>6th Purchase</t>
  </si>
  <si>
    <t>7th Purchase</t>
  </si>
  <si>
    <t>8th Purchase</t>
  </si>
  <si>
    <t>Total  : -</t>
  </si>
  <si>
    <t>Cement Purchase Details</t>
  </si>
  <si>
    <t xml:space="preserve">Excess Amount </t>
  </si>
  <si>
    <t>Cement Bags</t>
  </si>
  <si>
    <t>UltraTech Cement Limited</t>
  </si>
  <si>
    <t xml:space="preserve">Total : - </t>
  </si>
  <si>
    <t>Row Labels</t>
  </si>
  <si>
    <t>Grand Total</t>
  </si>
  <si>
    <t>CPI</t>
  </si>
  <si>
    <t>Earned Value</t>
  </si>
  <si>
    <t>Prgress Percentage(As per Schedule)</t>
  </si>
  <si>
    <t>Total Saving</t>
  </si>
  <si>
    <t>Sum of Purchase Rate Amount</t>
  </si>
  <si>
    <t xml:space="preserve">Sum of Saving Amount  </t>
  </si>
  <si>
    <t>Sum of Basic Rate Amount</t>
  </si>
  <si>
    <t>Revision Date:</t>
  </si>
  <si>
    <t>Budget Dashboard - Project # - Week #</t>
  </si>
  <si>
    <t>Total Cost</t>
  </si>
  <si>
    <t>Actual WO Amount</t>
  </si>
  <si>
    <t>Total Certified Amount</t>
  </si>
  <si>
    <t>Baseline Cost</t>
  </si>
  <si>
    <t>Current Budget</t>
  </si>
  <si>
    <t xml:space="preserve">Cost Saving </t>
  </si>
  <si>
    <t>Current Cost</t>
  </si>
  <si>
    <t>Remaining/Overrun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</si>
</sst>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 #,##0_ ;_ * \-#,##0_ ;_ * &quot;-&quot;_ ;_ @_ "/>
    <numFmt numFmtId="43" formatCode="_ * #,##0.00_ ;_ * \-#,##0.00_ ;_ * &quot;-&quot;??_ ;_ @_ "/>
    <numFmt numFmtId="164" formatCode="_ [$€-2]\ * #,##0_ ;_ [$€-2]\ * \-#,##0_ ;_ [$€-2]\ * &quot;-&quot;??_ ;_ @_ "/>
    <numFmt numFmtId="165" formatCode="_ [$₹-4009]\ * #,##0.00_ ;_ [$₹-4009]\ * \-#,##0.00_ ;_ [$₹-4009]\ * &quot;-&quot;??_ ;_ @_ "/>
    <numFmt numFmtId="166" formatCode="_ [$₹-4009]\ * #,##0_ ;_ [$₹-4009]\ * \-#,##0_ ;_ [$₹-4009]\ * &quot;-&quot;??_ ;_ @_ "/>
    <numFmt numFmtId="167" formatCode="_ [$€-2]\ * #,##0.00_ ;_ [$€-2]\ * \-#,##0.00_ ;_ [$€-2]\ * &quot;-&quot;??_ ;_ @_ "/>
    <numFmt numFmtId="168" formatCode="&quot;₹&quot;\ #,##0.00"/>
    <numFmt numFmtId="169" formatCode="&quot;₹&quot;\ #,##0"/>
    <numFmt numFmtId="170" formatCode="_(&quot;$&quot;* #,##0.00_);_(&quot;$&quot;* \(#,##0.00\);_(&quot;$&quot;* &quot;-&quot;??_);_(@_)"/>
    <numFmt numFmtId="171" formatCode="_ * #,##0_ ;_ * \-#,##0_ ;_ * &quot;-&quot;??_ ;_ @_ "/>
    <numFmt numFmtId="172" formatCode="_-* #,##0.00\ &quot;€&quot;_-;\-* #,##0.00\ &quot;€&quot;_-;_-* &quot;-&quot;??\ &quot;€&quot;_-;_-@_-"/>
    <numFmt numFmtId="173" formatCode="0.00_)"/>
    <numFmt numFmtId="174" formatCode="[$-F800]dddd\,\ mmmm\ dd\,\ yyyy"/>
  </numFmts>
  <fonts count="44">
    <font>
      <sz val="11"/>
      <color theme="1"/>
      <name val="Aptos Narrow"/>
      <family val="2"/>
      <scheme val="minor"/>
    </font>
    <font>
      <sz val="11"/>
      <color theme="1"/>
      <name val="Aptos Narrow"/>
      <family val="2"/>
      <scheme val="minor"/>
    </font>
    <font>
      <b/>
      <sz val="11"/>
      <color rgb="FFFA7D00"/>
      <name val="Aptos Narrow"/>
      <family val="2"/>
      <scheme val="minor"/>
    </font>
    <font>
      <b/>
      <sz val="11"/>
      <color theme="0"/>
      <name val="Aptos Narrow"/>
      <family val="2"/>
      <scheme val="minor"/>
    </font>
    <font>
      <b/>
      <sz val="11"/>
      <color theme="1"/>
      <name val="Aptos Narrow"/>
      <family val="2"/>
      <scheme val="minor"/>
    </font>
    <font>
      <b/>
      <sz val="11"/>
      <color rgb="FFFF0000"/>
      <name val="Aptos Narrow"/>
      <family val="2"/>
      <scheme val="minor"/>
    </font>
    <font>
      <b/>
      <sz val="11"/>
      <color theme="9" tint="-0.499984740745262"/>
      <name val="Aptos Narrow"/>
      <family val="2"/>
      <scheme val="minor"/>
    </font>
    <font>
      <b/>
      <sz val="11"/>
      <color rgb="FF7030A0"/>
      <name val="Aptos Narrow"/>
      <family val="2"/>
      <scheme val="minor"/>
    </font>
    <font>
      <b/>
      <sz val="12"/>
      <color rgb="FF7030A0"/>
      <name val="Aptos Narrow"/>
      <family val="2"/>
      <scheme val="minor"/>
    </font>
    <font>
      <b/>
      <sz val="9"/>
      <color indexed="81"/>
      <name val="Tahoma"/>
      <family val="2"/>
    </font>
    <font>
      <sz val="9"/>
      <color indexed="81"/>
      <name val="Tahoma"/>
      <family val="2"/>
    </font>
    <font>
      <b/>
      <sz val="14"/>
      <name val="Aptos Narrow"/>
      <family val="2"/>
      <scheme val="minor"/>
    </font>
    <font>
      <b/>
      <sz val="14"/>
      <color rgb="FFFF0000"/>
      <name val="Aptos Narrow"/>
      <family val="2"/>
      <scheme val="minor"/>
    </font>
    <font>
      <b/>
      <u/>
      <sz val="14"/>
      <name val="Calibri"/>
      <family val="2"/>
    </font>
    <font>
      <sz val="14"/>
      <name val="Calibri"/>
      <family val="2"/>
    </font>
    <font>
      <sz val="14"/>
      <color theme="1"/>
      <name val="Aptos Narrow"/>
      <family val="2"/>
      <scheme val="minor"/>
    </font>
    <font>
      <b/>
      <sz val="14"/>
      <color theme="1"/>
      <name val="Aptos Narrow"/>
      <family val="2"/>
      <scheme val="minor"/>
    </font>
    <font>
      <b/>
      <sz val="18"/>
      <color theme="1"/>
      <name val="Aptos Display"/>
      <family val="2"/>
      <scheme val="major"/>
    </font>
    <font>
      <sz val="18"/>
      <color theme="1"/>
      <name val="Aptos Display"/>
      <family val="2"/>
      <scheme val="major"/>
    </font>
    <font>
      <sz val="11"/>
      <color theme="1"/>
      <name val="Artifakt Element Book"/>
      <family val="2"/>
    </font>
    <font>
      <b/>
      <sz val="11"/>
      <color theme="0"/>
      <name val="Artifakt Element Book"/>
      <family val="2"/>
    </font>
    <font>
      <b/>
      <sz val="11"/>
      <color theme="1"/>
      <name val="Artifakt Element Book"/>
      <family val="2"/>
    </font>
    <font>
      <sz val="8"/>
      <name val="Aptos Narrow"/>
      <family val="2"/>
      <scheme val="minor"/>
    </font>
    <font>
      <b/>
      <sz val="16"/>
      <name val="Artifakt Element Light"/>
      <family val="2"/>
    </font>
    <font>
      <sz val="11"/>
      <name val="Artifakt Element Light"/>
      <family val="2"/>
    </font>
    <font>
      <b/>
      <sz val="14"/>
      <name val="Artifakt Element Light"/>
      <family val="2"/>
    </font>
    <font>
      <sz val="10"/>
      <name val="Courier"/>
      <family val="3"/>
    </font>
    <font>
      <b/>
      <sz val="13"/>
      <name val="Artifakt Element Light"/>
      <family val="2"/>
    </font>
    <font>
      <b/>
      <sz val="18"/>
      <name val="Artifakt Element Light"/>
      <family val="2"/>
    </font>
    <font>
      <b/>
      <sz val="18"/>
      <color rgb="FF000000"/>
      <name val="Artifakt Element Light"/>
      <family val="2"/>
    </font>
    <font>
      <b/>
      <sz val="16"/>
      <color rgb="FF000000"/>
      <name val="Artifakt Element Light"/>
      <family val="2"/>
    </font>
    <font>
      <sz val="14"/>
      <name val="Artifakt Element Light"/>
      <family val="2"/>
    </font>
    <font>
      <sz val="13"/>
      <name val="Artifakt Element Light"/>
      <family val="2"/>
    </font>
    <font>
      <sz val="14"/>
      <color rgb="FF000000"/>
      <name val="Artifakt Element Light"/>
      <family val="2"/>
    </font>
    <font>
      <sz val="14"/>
      <color theme="1"/>
      <name val="Artifakt Element Light"/>
      <family val="2"/>
    </font>
    <font>
      <b/>
      <sz val="12"/>
      <name val="Artifakt Element"/>
      <family val="2"/>
    </font>
    <font>
      <b/>
      <sz val="14"/>
      <color theme="1"/>
      <name val="Artifakt Element"/>
      <family val="2"/>
    </font>
    <font>
      <b/>
      <sz val="11"/>
      <color theme="1"/>
      <name val="Artifakt Element"/>
      <family val="2"/>
    </font>
    <font>
      <sz val="11"/>
      <color theme="1"/>
      <name val="Artifakt Element"/>
      <family val="2"/>
    </font>
    <font>
      <b/>
      <sz val="11"/>
      <color theme="0"/>
      <name val="Artifakt Element"/>
      <family val="2"/>
    </font>
    <font>
      <b/>
      <sz val="18"/>
      <color theme="0"/>
      <name val="Aptos Narrow"/>
      <family val="2"/>
      <scheme val="minor"/>
    </font>
    <font>
      <b/>
      <sz val="16"/>
      <color theme="0"/>
      <name val="Aptos Narrow"/>
      <family val="2"/>
      <scheme val="minor"/>
    </font>
    <font>
      <b/>
      <sz val="20"/>
      <color theme="0"/>
      <name val="Aptos Narrow"/>
      <family val="2"/>
      <scheme val="minor"/>
    </font>
    <font>
      <b/>
      <sz val="36"/>
      <color theme="1"/>
      <name val="Aptos Narrow"/>
      <family val="2"/>
      <scheme val="minor"/>
    </font>
  </fonts>
  <fills count="23">
    <fill>
      <patternFill patternType="none"/>
    </fill>
    <fill>
      <patternFill patternType="gray125"/>
    </fill>
    <fill>
      <patternFill patternType="solid">
        <fgColor rgb="FFF2F2F2"/>
      </patternFill>
    </fill>
    <fill>
      <patternFill patternType="solid">
        <fgColor rgb="FFFFFF00"/>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0000"/>
        <bgColor indexed="64"/>
      </patternFill>
    </fill>
    <fill>
      <patternFill patternType="solid">
        <fgColor theme="4" tint="-0.249977111117893"/>
        <bgColor indexed="64"/>
      </patternFill>
    </fill>
    <fill>
      <patternFill patternType="lightUp">
        <fgColor theme="4"/>
        <bgColor theme="0"/>
      </patternFill>
    </fill>
    <fill>
      <patternFill patternType="solid">
        <fgColor theme="7" tint="-0.249977111117893"/>
        <bgColor indexed="64"/>
      </patternFill>
    </fill>
  </fills>
  <borders count="36">
    <border>
      <left/>
      <right/>
      <top/>
      <bottom/>
      <diagonal/>
    </border>
    <border>
      <left style="thin">
        <color rgb="FF7F7F7F"/>
      </left>
      <right style="thin">
        <color rgb="FF7F7F7F"/>
      </right>
      <top style="thin">
        <color rgb="FF7F7F7F"/>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2" borderId="1" applyNumberFormat="0" applyAlignment="0" applyProtection="0"/>
    <xf numFmtId="170" fontId="1" fillId="0" borderId="0" applyFont="0" applyFill="0" applyBorder="0" applyAlignment="0" applyProtection="0"/>
    <xf numFmtId="172" fontId="26" fillId="0" borderId="0"/>
    <xf numFmtId="43" fontId="1" fillId="0" borderId="0" applyFont="0" applyFill="0" applyBorder="0" applyAlignment="0" applyProtection="0"/>
    <xf numFmtId="173" fontId="26" fillId="0" borderId="0"/>
  </cellStyleXfs>
  <cellXfs count="336">
    <xf numFmtId="0" fontId="0" fillId="0" borderId="0" xfId="0"/>
    <xf numFmtId="0" fontId="5" fillId="3" borderId="0" xfId="0" applyFont="1" applyFill="1"/>
    <xf numFmtId="164" fontId="6" fillId="0" borderId="0" xfId="0" applyNumberFormat="1" applyFont="1" applyAlignment="1">
      <alignment horizontal="left" vertical="top"/>
    </xf>
    <xf numFmtId="0" fontId="7" fillId="4" borderId="2" xfId="0" applyFont="1" applyFill="1" applyBorder="1" applyAlignment="1">
      <alignment horizontal="left" vertical="center"/>
    </xf>
    <xf numFmtId="17" fontId="7" fillId="4" borderId="3" xfId="0" applyNumberFormat="1" applyFont="1" applyFill="1" applyBorder="1" applyAlignment="1">
      <alignment horizontal="center" vertical="center"/>
    </xf>
    <xf numFmtId="0" fontId="7" fillId="4" borderId="5" xfId="0" applyFont="1" applyFill="1" applyBorder="1" applyAlignment="1">
      <alignment horizontal="left" vertical="center"/>
    </xf>
    <xf numFmtId="165" fontId="7" fillId="4" borderId="6" xfId="0" applyNumberFormat="1" applyFont="1" applyFill="1" applyBorder="1" applyAlignment="1">
      <alignment horizontal="right" vertical="center"/>
    </xf>
    <xf numFmtId="166" fontId="7" fillId="4" borderId="6" xfId="0" applyNumberFormat="1" applyFont="1" applyFill="1" applyBorder="1" applyAlignment="1">
      <alignment horizontal="right" vertical="center"/>
    </xf>
    <xf numFmtId="165" fontId="7" fillId="4" borderId="7" xfId="0" applyNumberFormat="1" applyFont="1" applyFill="1" applyBorder="1" applyAlignment="1">
      <alignment horizontal="right" vertical="center"/>
    </xf>
    <xf numFmtId="0" fontId="6" fillId="0" borderId="0" xfId="0" applyFont="1"/>
    <xf numFmtId="167" fontId="7" fillId="0" borderId="0" xfId="0" applyNumberFormat="1" applyFont="1" applyAlignment="1">
      <alignment horizontal="center" vertical="top"/>
    </xf>
    <xf numFmtId="0" fontId="7" fillId="4" borderId="5" xfId="0" applyFont="1" applyFill="1" applyBorder="1"/>
    <xf numFmtId="0" fontId="7" fillId="4" borderId="5" xfId="0" applyFont="1" applyFill="1" applyBorder="1" applyAlignment="1">
      <alignment horizontal="left" vertical="center" wrapText="1"/>
    </xf>
    <xf numFmtId="166" fontId="7" fillId="4" borderId="7" xfId="0" applyNumberFormat="1" applyFont="1" applyFill="1" applyBorder="1" applyAlignment="1">
      <alignment horizontal="right" vertical="center"/>
    </xf>
    <xf numFmtId="0" fontId="7" fillId="0" borderId="0" xfId="0" applyFont="1"/>
    <xf numFmtId="165" fontId="7" fillId="0" borderId="0" xfId="0" applyNumberFormat="1" applyFont="1"/>
    <xf numFmtId="165" fontId="6" fillId="0" borderId="0" xfId="0" applyNumberFormat="1" applyFont="1"/>
    <xf numFmtId="0" fontId="7" fillId="4" borderId="2" xfId="0" applyFont="1" applyFill="1" applyBorder="1"/>
    <xf numFmtId="0" fontId="7" fillId="4" borderId="8" xfId="0" applyFont="1" applyFill="1" applyBorder="1"/>
    <xf numFmtId="165" fontId="7" fillId="4" borderId="9" xfId="0" applyNumberFormat="1" applyFont="1" applyFill="1" applyBorder="1"/>
    <xf numFmtId="165" fontId="7" fillId="4" borderId="10" xfId="0" applyNumberFormat="1" applyFont="1" applyFill="1" applyBorder="1"/>
    <xf numFmtId="0" fontId="7" fillId="5" borderId="6" xfId="0" applyFont="1" applyFill="1" applyBorder="1" applyAlignment="1">
      <alignment horizontal="center" vertical="center"/>
    </xf>
    <xf numFmtId="0" fontId="7" fillId="5" borderId="6"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6" fillId="5" borderId="6" xfId="0" applyFont="1" applyFill="1" applyBorder="1" applyAlignment="1">
      <alignment horizontal="center" vertical="center" wrapText="1"/>
    </xf>
    <xf numFmtId="17" fontId="7" fillId="5" borderId="5" xfId="0" applyNumberFormat="1" applyFont="1" applyFill="1" applyBorder="1" applyAlignment="1">
      <alignment horizontal="center" vertical="center"/>
    </xf>
    <xf numFmtId="168" fontId="7" fillId="5" borderId="6" xfId="0" applyNumberFormat="1" applyFont="1" applyFill="1" applyBorder="1" applyAlignment="1">
      <alignment horizontal="right" vertical="center"/>
    </xf>
    <xf numFmtId="168" fontId="5" fillId="5" borderId="6" xfId="0" applyNumberFormat="1" applyFont="1" applyFill="1" applyBorder="1" applyAlignment="1">
      <alignment horizontal="right" vertical="center"/>
    </xf>
    <xf numFmtId="168" fontId="6" fillId="5" borderId="6" xfId="0" applyNumberFormat="1" applyFont="1" applyFill="1" applyBorder="1" applyAlignment="1">
      <alignment horizontal="right" vertical="center"/>
    </xf>
    <xf numFmtId="169" fontId="8" fillId="5" borderId="7" xfId="0" applyNumberFormat="1" applyFont="1" applyFill="1" applyBorder="1" applyAlignment="1">
      <alignment horizontal="right" vertical="center"/>
    </xf>
    <xf numFmtId="17" fontId="7" fillId="0" borderId="14" xfId="0" applyNumberFormat="1" applyFont="1" applyBorder="1" applyAlignment="1">
      <alignment horizontal="center" vertical="center"/>
    </xf>
    <xf numFmtId="0" fontId="7" fillId="0" borderId="0" xfId="0" applyFont="1" applyAlignment="1">
      <alignment horizontal="center" vertical="center"/>
    </xf>
    <xf numFmtId="0" fontId="7" fillId="0" borderId="0" xfId="0" applyFont="1" applyAlignment="1">
      <alignment horizontal="center" vertical="center" wrapText="1"/>
    </xf>
    <xf numFmtId="168" fontId="7" fillId="0" borderId="0" xfId="0" applyNumberFormat="1" applyFont="1" applyAlignment="1">
      <alignment horizontal="right" vertical="center"/>
    </xf>
    <xf numFmtId="168" fontId="5" fillId="0" borderId="0" xfId="0" applyNumberFormat="1" applyFont="1" applyAlignment="1">
      <alignment horizontal="right" vertical="center"/>
    </xf>
    <xf numFmtId="168" fontId="6" fillId="0" borderId="0" xfId="0" applyNumberFormat="1" applyFont="1" applyAlignment="1">
      <alignment horizontal="right" vertical="center"/>
    </xf>
    <xf numFmtId="169" fontId="8" fillId="0" borderId="15" xfId="0" applyNumberFormat="1" applyFont="1" applyBorder="1" applyAlignment="1">
      <alignment horizontal="right" vertical="center"/>
    </xf>
    <xf numFmtId="168" fontId="7" fillId="5" borderId="9" xfId="0" applyNumberFormat="1" applyFont="1" applyFill="1" applyBorder="1"/>
    <xf numFmtId="168" fontId="5" fillId="5" borderId="9" xfId="0" applyNumberFormat="1" applyFont="1" applyFill="1" applyBorder="1"/>
    <xf numFmtId="168" fontId="6" fillId="5" borderId="9" xfId="0" applyNumberFormat="1" applyFont="1" applyFill="1" applyBorder="1"/>
    <xf numFmtId="168" fontId="8" fillId="5" borderId="10" xfId="0" applyNumberFormat="1" applyFont="1" applyFill="1" applyBorder="1"/>
    <xf numFmtId="0" fontId="4" fillId="0" borderId="0" xfId="0" applyFont="1"/>
    <xf numFmtId="9" fontId="0" fillId="0" borderId="0" xfId="0" applyNumberFormat="1"/>
    <xf numFmtId="0" fontId="13" fillId="0" borderId="6" xfId="0" applyFont="1" applyBorder="1" applyAlignment="1">
      <alignment horizontal="center"/>
    </xf>
    <xf numFmtId="0" fontId="14" fillId="0" borderId="6" xfId="0" applyFont="1" applyBorder="1" applyAlignment="1">
      <alignment horizontal="center"/>
    </xf>
    <xf numFmtId="0" fontId="15" fillId="0" borderId="6" xfId="0" applyFont="1" applyBorder="1"/>
    <xf numFmtId="0" fontId="16" fillId="6" borderId="6" xfId="0" applyFont="1" applyFill="1" applyBorder="1" applyAlignment="1">
      <alignment horizontal="center" vertical="center" wrapText="1"/>
    </xf>
    <xf numFmtId="0" fontId="16" fillId="6" borderId="6" xfId="0" applyFont="1" applyFill="1" applyBorder="1" applyAlignment="1">
      <alignment vertical="center"/>
    </xf>
    <xf numFmtId="17" fontId="16" fillId="6" borderId="6" xfId="0" applyNumberFormat="1" applyFont="1" applyFill="1" applyBorder="1" applyAlignment="1">
      <alignment horizontal="center" vertical="center"/>
    </xf>
    <xf numFmtId="0" fontId="16" fillId="6" borderId="6" xfId="0" applyFont="1" applyFill="1" applyBorder="1" applyAlignment="1">
      <alignment horizontal="center" vertical="center"/>
    </xf>
    <xf numFmtId="0" fontId="16" fillId="0" borderId="6" xfId="0" applyFont="1" applyBorder="1" applyAlignment="1">
      <alignment horizontal="center" vertical="center"/>
    </xf>
    <xf numFmtId="0" fontId="17" fillId="0" borderId="6" xfId="0" applyFont="1" applyBorder="1" applyAlignment="1">
      <alignment vertical="center"/>
    </xf>
    <xf numFmtId="166" fontId="18" fillId="0" borderId="16" xfId="4" applyNumberFormat="1" applyFont="1" applyBorder="1" applyAlignment="1">
      <alignment horizontal="left" vertical="center" indent="6"/>
    </xf>
    <xf numFmtId="3" fontId="16" fillId="7" borderId="6" xfId="0" applyNumberFormat="1" applyFont="1" applyFill="1" applyBorder="1" applyAlignment="1">
      <alignment horizontal="right" vertical="center"/>
    </xf>
    <xf numFmtId="168" fontId="16" fillId="7" borderId="6" xfId="0" applyNumberFormat="1" applyFont="1" applyFill="1" applyBorder="1" applyAlignment="1">
      <alignment horizontal="right" vertical="center"/>
    </xf>
    <xf numFmtId="168" fontId="16" fillId="8" borderId="6" xfId="0" applyNumberFormat="1" applyFont="1" applyFill="1" applyBorder="1"/>
    <xf numFmtId="3" fontId="16" fillId="7" borderId="0" xfId="0" applyNumberFormat="1" applyFont="1" applyFill="1" applyAlignment="1">
      <alignment horizontal="right" vertical="center"/>
    </xf>
    <xf numFmtId="3" fontId="0" fillId="0" borderId="0" xfId="0" applyNumberFormat="1"/>
    <xf numFmtId="166" fontId="18" fillId="0" borderId="6" xfId="4" applyNumberFormat="1" applyFont="1" applyBorder="1" applyAlignment="1">
      <alignment horizontal="left" vertical="center" indent="6"/>
    </xf>
    <xf numFmtId="166" fontId="18" fillId="9" borderId="6" xfId="4" applyNumberFormat="1" applyFont="1" applyFill="1" applyBorder="1" applyAlignment="1">
      <alignment horizontal="left" vertical="center" indent="6"/>
    </xf>
    <xf numFmtId="3" fontId="16" fillId="8" borderId="6" xfId="0" applyNumberFormat="1" applyFont="1" applyFill="1" applyBorder="1"/>
    <xf numFmtId="0" fontId="17" fillId="0" borderId="0" xfId="0" applyFont="1" applyAlignment="1">
      <alignment vertical="center"/>
    </xf>
    <xf numFmtId="0" fontId="0" fillId="0" borderId="0" xfId="0" applyAlignment="1">
      <alignment horizontal="left"/>
    </xf>
    <xf numFmtId="166" fontId="0" fillId="0" borderId="0" xfId="0" applyNumberFormat="1"/>
    <xf numFmtId="0" fontId="19" fillId="0" borderId="0" xfId="0" applyFont="1"/>
    <xf numFmtId="41" fontId="20" fillId="10" borderId="6" xfId="1" applyNumberFormat="1" applyFont="1" applyFill="1" applyBorder="1" applyAlignment="1">
      <alignment horizontal="center"/>
    </xf>
    <xf numFmtId="41" fontId="21" fillId="11" borderId="6" xfId="1" applyNumberFormat="1" applyFont="1" applyFill="1" applyBorder="1" applyAlignment="1">
      <alignment horizontal="center" vertical="center" wrapText="1"/>
    </xf>
    <xf numFmtId="0" fontId="19" fillId="0" borderId="0" xfId="0" applyFont="1" applyAlignment="1">
      <alignment vertical="center"/>
    </xf>
    <xf numFmtId="41" fontId="21" fillId="11" borderId="6" xfId="1" applyNumberFormat="1" applyFont="1" applyFill="1" applyBorder="1" applyAlignment="1">
      <alignment horizontal="center" vertical="center"/>
    </xf>
    <xf numFmtId="0" fontId="19" fillId="12" borderId="6" xfId="1" applyNumberFormat="1" applyFont="1" applyFill="1" applyBorder="1" applyAlignment="1">
      <alignment horizontal="center" vertical="center"/>
    </xf>
    <xf numFmtId="43" fontId="19" fillId="12" borderId="6" xfId="1" applyFont="1" applyFill="1" applyBorder="1"/>
    <xf numFmtId="41" fontId="19" fillId="12" borderId="6" xfId="1" applyNumberFormat="1" applyFont="1" applyFill="1" applyBorder="1"/>
    <xf numFmtId="41" fontId="19" fillId="12" borderId="6" xfId="1" applyNumberFormat="1" applyFont="1" applyFill="1" applyBorder="1" applyAlignment="1">
      <alignment horizontal="center"/>
    </xf>
    <xf numFmtId="0" fontId="19" fillId="6" borderId="6" xfId="1" applyNumberFormat="1" applyFont="1" applyFill="1" applyBorder="1" applyAlignment="1">
      <alignment horizontal="center" vertical="center"/>
    </xf>
    <xf numFmtId="43" fontId="19" fillId="6" borderId="6" xfId="1" applyFont="1" applyFill="1" applyBorder="1"/>
    <xf numFmtId="41" fontId="19" fillId="6" borderId="6" xfId="1" applyNumberFormat="1" applyFont="1" applyFill="1" applyBorder="1"/>
    <xf numFmtId="41" fontId="19" fillId="6" borderId="6" xfId="1" applyNumberFormat="1" applyFont="1" applyFill="1" applyBorder="1" applyAlignment="1">
      <alignment horizontal="center"/>
    </xf>
    <xf numFmtId="41" fontId="21" fillId="13" borderId="6" xfId="1" applyNumberFormat="1" applyFont="1" applyFill="1" applyBorder="1"/>
    <xf numFmtId="41" fontId="21" fillId="14" borderId="6" xfId="1" applyNumberFormat="1" applyFont="1" applyFill="1" applyBorder="1" applyAlignment="1"/>
    <xf numFmtId="0" fontId="19" fillId="0" borderId="0" xfId="0" applyFont="1" applyAlignment="1">
      <alignment horizontal="center" vertical="center"/>
    </xf>
    <xf numFmtId="41" fontId="19" fillId="0" borderId="0" xfId="1" applyNumberFormat="1" applyFont="1"/>
    <xf numFmtId="41" fontId="19" fillId="0" borderId="0" xfId="1" applyNumberFormat="1" applyFont="1" applyAlignment="1">
      <alignment horizontal="center"/>
    </xf>
    <xf numFmtId="0" fontId="17" fillId="0" borderId="6" xfId="0" applyFont="1" applyBorder="1" applyAlignment="1">
      <alignment vertical="center" wrapText="1"/>
    </xf>
    <xf numFmtId="165" fontId="7" fillId="15" borderId="6" xfId="0" applyNumberFormat="1" applyFont="1" applyFill="1" applyBorder="1"/>
    <xf numFmtId="167" fontId="7" fillId="15" borderId="6" xfId="0" applyNumberFormat="1" applyFont="1" applyFill="1" applyBorder="1" applyAlignment="1">
      <alignment horizontal="center" vertical="top"/>
    </xf>
    <xf numFmtId="167" fontId="7" fillId="15" borderId="7" xfId="0" applyNumberFormat="1" applyFont="1" applyFill="1" applyBorder="1" applyAlignment="1">
      <alignment horizontal="center" vertical="top"/>
    </xf>
    <xf numFmtId="168" fontId="5" fillId="15" borderId="6" xfId="0" applyNumberFormat="1" applyFont="1" applyFill="1" applyBorder="1" applyAlignment="1">
      <alignment horizontal="right" vertical="center"/>
    </xf>
    <xf numFmtId="165" fontId="0" fillId="0" borderId="0" xfId="0" applyNumberFormat="1"/>
    <xf numFmtId="171" fontId="23" fillId="13" borderId="5" xfId="1" applyNumberFormat="1" applyFont="1" applyFill="1" applyBorder="1" applyAlignment="1" applyProtection="1">
      <alignment horizontal="center" vertical="center" wrapText="1"/>
      <protection hidden="1"/>
    </xf>
    <xf numFmtId="0" fontId="23" fillId="13" borderId="6" xfId="1" applyNumberFormat="1" applyFont="1" applyFill="1" applyBorder="1" applyAlignment="1" applyProtection="1">
      <alignment horizontal="center" vertical="center" wrapText="1"/>
      <protection hidden="1"/>
    </xf>
    <xf numFmtId="171" fontId="23" fillId="13" borderId="6" xfId="1" applyNumberFormat="1" applyFont="1" applyFill="1" applyBorder="1" applyAlignment="1" applyProtection="1">
      <alignment horizontal="center" vertical="center" wrapText="1"/>
      <protection hidden="1"/>
    </xf>
    <xf numFmtId="43" fontId="23" fillId="13" borderId="6" xfId="1" applyFont="1" applyFill="1" applyBorder="1" applyAlignment="1" applyProtection="1">
      <alignment horizontal="center" vertical="center" wrapText="1"/>
      <protection hidden="1"/>
    </xf>
    <xf numFmtId="43" fontId="23" fillId="12" borderId="27" xfId="1" applyFont="1" applyFill="1" applyBorder="1" applyAlignment="1" applyProtection="1">
      <alignment horizontal="center" vertical="center" wrapText="1"/>
      <protection hidden="1"/>
    </xf>
    <xf numFmtId="43" fontId="23" fillId="12" borderId="27" xfId="1" applyFont="1" applyFill="1" applyBorder="1" applyAlignment="1" applyProtection="1">
      <alignment horizontal="center" vertical="center"/>
      <protection hidden="1"/>
    </xf>
    <xf numFmtId="41" fontId="23" fillId="11" borderId="27" xfId="1" applyNumberFormat="1" applyFont="1" applyFill="1" applyBorder="1" applyAlignment="1" applyProtection="1">
      <alignment horizontal="center" vertical="center" wrapText="1"/>
      <protection hidden="1"/>
    </xf>
    <xf numFmtId="43" fontId="23" fillId="5" borderId="27" xfId="1" applyFont="1" applyFill="1" applyBorder="1" applyAlignment="1" applyProtection="1">
      <alignment horizontal="center" vertical="center" wrapText="1"/>
      <protection hidden="1"/>
    </xf>
    <xf numFmtId="9" fontId="23" fillId="5" borderId="27" xfId="2" applyFont="1" applyFill="1" applyBorder="1" applyAlignment="1" applyProtection="1">
      <alignment horizontal="center" vertical="center" wrapText="1"/>
      <protection hidden="1"/>
    </xf>
    <xf numFmtId="41" fontId="23" fillId="6" borderId="27" xfId="1" applyNumberFormat="1" applyFont="1" applyFill="1" applyBorder="1" applyAlignment="1" applyProtection="1">
      <alignment horizontal="center" vertical="center" wrapText="1"/>
      <protection hidden="1"/>
    </xf>
    <xf numFmtId="41" fontId="23" fillId="16" borderId="27" xfId="1" applyNumberFormat="1" applyFont="1" applyFill="1" applyBorder="1" applyAlignment="1" applyProtection="1">
      <alignment horizontal="center" vertical="center" wrapText="1"/>
      <protection hidden="1"/>
    </xf>
    <xf numFmtId="41" fontId="23" fillId="14" borderId="27" xfId="1" applyNumberFormat="1" applyFont="1" applyFill="1" applyBorder="1" applyAlignment="1" applyProtection="1">
      <alignment horizontal="center" vertical="center" wrapText="1"/>
      <protection hidden="1"/>
    </xf>
    <xf numFmtId="41" fontId="23" fillId="17" borderId="27" xfId="1" applyNumberFormat="1" applyFont="1" applyFill="1" applyBorder="1" applyAlignment="1" applyProtection="1">
      <alignment horizontal="center" vertical="center" wrapText="1"/>
      <protection hidden="1"/>
    </xf>
    <xf numFmtId="41" fontId="23" fillId="5" borderId="27" xfId="1" applyNumberFormat="1" applyFont="1" applyFill="1" applyBorder="1" applyAlignment="1" applyProtection="1">
      <alignment horizontal="center" vertical="center" wrapText="1"/>
      <protection hidden="1"/>
    </xf>
    <xf numFmtId="43" fontId="23" fillId="13" borderId="27" xfId="1" applyFont="1" applyFill="1" applyBorder="1" applyAlignment="1" applyProtection="1">
      <alignment horizontal="center" vertical="center" wrapText="1"/>
      <protection hidden="1"/>
    </xf>
    <xf numFmtId="171" fontId="24" fillId="0" borderId="0" xfId="1" applyNumberFormat="1" applyFont="1" applyFill="1" applyAlignment="1" applyProtection="1">
      <alignment horizontal="center" vertical="center"/>
      <protection hidden="1"/>
    </xf>
    <xf numFmtId="171" fontId="25" fillId="13" borderId="30" xfId="1" applyNumberFormat="1" applyFont="1" applyFill="1" applyBorder="1" applyAlignment="1" applyProtection="1">
      <alignment horizontal="center" vertical="center"/>
      <protection hidden="1"/>
    </xf>
    <xf numFmtId="0" fontId="25" fillId="13" borderId="29" xfId="1" applyNumberFormat="1" applyFont="1" applyFill="1" applyBorder="1" applyAlignment="1" applyProtection="1">
      <alignment vertical="center" wrapText="1"/>
      <protection hidden="1"/>
    </xf>
    <xf numFmtId="0" fontId="27" fillId="13" borderId="6" xfId="5" applyNumberFormat="1" applyFont="1" applyFill="1" applyBorder="1" applyAlignment="1" applyProtection="1">
      <alignment horizontal="center" vertical="center"/>
      <protection hidden="1"/>
    </xf>
    <xf numFmtId="43" fontId="25" fillId="13" borderId="6" xfId="1" applyFont="1" applyFill="1" applyBorder="1" applyAlignment="1" applyProtection="1">
      <alignment horizontal="center" vertical="center"/>
      <protection hidden="1"/>
    </xf>
    <xf numFmtId="41" fontId="30" fillId="17" borderId="6" xfId="1" applyNumberFormat="1" applyFont="1" applyFill="1" applyBorder="1" applyAlignment="1" applyProtection="1">
      <alignment horizontal="center" vertical="center"/>
      <protection hidden="1"/>
    </xf>
    <xf numFmtId="0" fontId="31" fillId="13" borderId="6" xfId="5" applyNumberFormat="1" applyFont="1" applyFill="1" applyBorder="1" applyAlignment="1" applyProtection="1">
      <alignment horizontal="center" vertical="center"/>
      <protection hidden="1"/>
    </xf>
    <xf numFmtId="0" fontId="31" fillId="13" borderId="6" xfId="5" applyNumberFormat="1" applyFont="1" applyFill="1" applyBorder="1" applyAlignment="1" applyProtection="1">
      <alignment vertical="center" wrapText="1"/>
      <protection hidden="1"/>
    </xf>
    <xf numFmtId="43" fontId="32" fillId="13" borderId="6" xfId="6" applyFont="1" applyFill="1" applyBorder="1" applyAlignment="1" applyProtection="1">
      <alignment horizontal="center" vertical="center"/>
      <protection hidden="1"/>
    </xf>
    <xf numFmtId="43" fontId="31" fillId="13" borderId="6" xfId="1" applyFont="1" applyFill="1" applyBorder="1" applyAlignment="1" applyProtection="1">
      <alignment horizontal="center" vertical="center"/>
      <protection hidden="1"/>
    </xf>
    <xf numFmtId="43" fontId="32" fillId="12" borderId="6" xfId="1" applyFont="1" applyFill="1" applyBorder="1" applyAlignment="1" applyProtection="1">
      <alignment horizontal="right" vertical="center"/>
      <protection hidden="1"/>
    </xf>
    <xf numFmtId="43" fontId="33" fillId="12" borderId="6" xfId="1" applyFont="1" applyFill="1" applyBorder="1" applyAlignment="1" applyProtection="1">
      <alignment horizontal="center" vertical="center" wrapText="1"/>
      <protection locked="0" hidden="1"/>
    </xf>
    <xf numFmtId="43" fontId="31" fillId="12" borderId="6" xfId="1" applyFont="1" applyFill="1" applyBorder="1" applyAlignment="1" applyProtection="1">
      <alignment horizontal="center" vertical="center"/>
      <protection locked="0" hidden="1"/>
    </xf>
    <xf numFmtId="43" fontId="31" fillId="12" borderId="6" xfId="1" applyFont="1" applyFill="1" applyBorder="1" applyAlignment="1" applyProtection="1">
      <alignment horizontal="center" vertical="center"/>
      <protection hidden="1"/>
    </xf>
    <xf numFmtId="41" fontId="31" fillId="11" borderId="6" xfId="1" applyNumberFormat="1" applyFont="1" applyFill="1" applyBorder="1" applyAlignment="1" applyProtection="1">
      <alignment horizontal="center" vertical="center"/>
      <protection hidden="1"/>
    </xf>
    <xf numFmtId="43" fontId="31" fillId="5" borderId="6" xfId="1" applyFont="1" applyFill="1" applyBorder="1" applyAlignment="1" applyProtection="1">
      <alignment horizontal="center" vertical="center"/>
      <protection hidden="1"/>
    </xf>
    <xf numFmtId="41" fontId="31" fillId="6" borderId="6" xfId="1" applyNumberFormat="1" applyFont="1" applyFill="1" applyBorder="1" applyAlignment="1" applyProtection="1">
      <alignment horizontal="center" vertical="center"/>
      <protection hidden="1"/>
    </xf>
    <xf numFmtId="41" fontId="31" fillId="16" borderId="6" xfId="1" applyNumberFormat="1" applyFont="1" applyFill="1" applyBorder="1" applyAlignment="1" applyProtection="1">
      <alignment horizontal="center" vertical="center"/>
      <protection hidden="1"/>
    </xf>
    <xf numFmtId="41" fontId="31" fillId="14" borderId="6" xfId="1" applyNumberFormat="1" applyFont="1" applyFill="1" applyBorder="1" applyAlignment="1" applyProtection="1">
      <alignment horizontal="center" vertical="center"/>
      <protection hidden="1"/>
    </xf>
    <xf numFmtId="41" fontId="31" fillId="17" borderId="6" xfId="1" applyNumberFormat="1" applyFont="1" applyFill="1" applyBorder="1" applyAlignment="1" applyProtection="1">
      <alignment horizontal="center" vertical="center"/>
      <protection hidden="1"/>
    </xf>
    <xf numFmtId="41" fontId="31" fillId="5" borderId="6" xfId="1" applyNumberFormat="1" applyFont="1" applyFill="1" applyBorder="1" applyAlignment="1" applyProtection="1">
      <alignment horizontal="center" vertical="center"/>
      <protection hidden="1"/>
    </xf>
    <xf numFmtId="0" fontId="31" fillId="13" borderId="6" xfId="5" quotePrefix="1" applyNumberFormat="1" applyFont="1" applyFill="1" applyBorder="1" applyAlignment="1" applyProtection="1">
      <alignment vertical="center"/>
      <protection hidden="1"/>
    </xf>
    <xf numFmtId="9" fontId="31" fillId="5" borderId="6" xfId="2" applyFont="1" applyFill="1" applyBorder="1" applyAlignment="1" applyProtection="1">
      <alignment horizontal="center" vertical="center"/>
      <protection hidden="1"/>
    </xf>
    <xf numFmtId="0" fontId="31" fillId="13" borderId="6" xfId="5" quotePrefix="1" applyNumberFormat="1" applyFont="1" applyFill="1" applyBorder="1" applyAlignment="1" applyProtection="1">
      <alignment vertical="center" wrapText="1"/>
      <protection hidden="1"/>
    </xf>
    <xf numFmtId="0" fontId="31" fillId="13" borderId="6" xfId="0" applyFont="1" applyFill="1" applyBorder="1" applyAlignment="1" applyProtection="1">
      <alignment vertical="center" wrapText="1"/>
      <protection hidden="1"/>
    </xf>
    <xf numFmtId="0" fontId="33" fillId="13" borderId="6" xfId="0" applyFont="1" applyFill="1" applyBorder="1" applyAlignment="1" applyProtection="1">
      <alignment horizontal="left" vertical="center" wrapText="1"/>
      <protection hidden="1"/>
    </xf>
    <xf numFmtId="1" fontId="31" fillId="12" borderId="6" xfId="1" applyNumberFormat="1" applyFont="1" applyFill="1" applyBorder="1" applyAlignment="1" applyProtection="1">
      <alignment horizontal="right" vertical="center"/>
      <protection locked="0" hidden="1"/>
    </xf>
    <xf numFmtId="0" fontId="34" fillId="13" borderId="6" xfId="0" applyFont="1" applyFill="1" applyBorder="1" applyAlignment="1" applyProtection="1">
      <alignment horizontal="left" vertical="center" wrapText="1"/>
      <protection hidden="1"/>
    </xf>
    <xf numFmtId="1" fontId="31" fillId="13" borderId="6" xfId="0" applyNumberFormat="1" applyFont="1" applyFill="1" applyBorder="1" applyAlignment="1" applyProtection="1">
      <alignment horizontal="left" vertical="center" wrapText="1"/>
      <protection hidden="1"/>
    </xf>
    <xf numFmtId="0" fontId="31" fillId="13" borderId="6" xfId="7" applyNumberFormat="1" applyFont="1" applyFill="1" applyBorder="1" applyAlignment="1" applyProtection="1">
      <alignment vertical="center" wrapText="1"/>
      <protection hidden="1"/>
    </xf>
    <xf numFmtId="2" fontId="31" fillId="13" borderId="6" xfId="0" applyNumberFormat="1" applyFont="1" applyFill="1" applyBorder="1" applyAlignment="1" applyProtection="1">
      <alignment horizontal="justify" vertical="center" wrapText="1"/>
      <protection hidden="1"/>
    </xf>
    <xf numFmtId="0" fontId="31" fillId="13" borderId="6" xfId="0" applyFont="1" applyFill="1" applyBorder="1" applyAlignment="1" applyProtection="1">
      <alignment horizontal="justify" vertical="center" wrapText="1"/>
      <protection hidden="1"/>
    </xf>
    <xf numFmtId="0" fontId="31" fillId="13" borderId="6" xfId="0" quotePrefix="1" applyFont="1" applyFill="1" applyBorder="1" applyAlignment="1" applyProtection="1">
      <alignment horizontal="justify" vertical="center" wrapText="1"/>
      <protection hidden="1"/>
    </xf>
    <xf numFmtId="0" fontId="25" fillId="13" borderId="6" xfId="0" applyFont="1" applyFill="1" applyBorder="1" applyAlignment="1" applyProtection="1">
      <alignment horizontal="justify" vertical="center" wrapText="1"/>
      <protection hidden="1"/>
    </xf>
    <xf numFmtId="0" fontId="31" fillId="13" borderId="6" xfId="1" applyNumberFormat="1" applyFont="1" applyFill="1" applyBorder="1" applyAlignment="1" applyProtection="1">
      <alignment vertical="center" wrapText="1"/>
      <protection hidden="1"/>
    </xf>
    <xf numFmtId="171" fontId="33" fillId="13" borderId="6" xfId="1" applyNumberFormat="1" applyFont="1" applyFill="1" applyBorder="1" applyAlignment="1" applyProtection="1">
      <alignment horizontal="center" vertical="center"/>
      <protection hidden="1"/>
    </xf>
    <xf numFmtId="43" fontId="33" fillId="13" borderId="6" xfId="1" applyFont="1" applyFill="1" applyBorder="1" applyAlignment="1" applyProtection="1">
      <alignment horizontal="center" vertical="center"/>
      <protection hidden="1"/>
    </xf>
    <xf numFmtId="43" fontId="33" fillId="12" borderId="6" xfId="1" applyFont="1" applyFill="1" applyBorder="1" applyAlignment="1" applyProtection="1">
      <alignment horizontal="center" vertical="center"/>
      <protection hidden="1"/>
    </xf>
    <xf numFmtId="43" fontId="33" fillId="12" borderId="6" xfId="1" applyFont="1" applyFill="1" applyBorder="1" applyAlignment="1" applyProtection="1">
      <alignment horizontal="center" vertical="center"/>
      <protection locked="0" hidden="1"/>
    </xf>
    <xf numFmtId="41" fontId="33" fillId="6" borderId="6" xfId="1" applyNumberFormat="1" applyFont="1" applyFill="1" applyBorder="1" applyAlignment="1" applyProtection="1">
      <alignment horizontal="center" vertical="center"/>
      <protection hidden="1"/>
    </xf>
    <xf numFmtId="41" fontId="33" fillId="16" borderId="6" xfId="1" applyNumberFormat="1" applyFont="1" applyFill="1" applyBorder="1" applyAlignment="1" applyProtection="1">
      <alignment horizontal="center" vertical="center"/>
      <protection hidden="1"/>
    </xf>
    <xf numFmtId="41" fontId="33" fillId="14" borderId="6" xfId="1" applyNumberFormat="1" applyFont="1" applyFill="1" applyBorder="1" applyAlignment="1" applyProtection="1">
      <alignment horizontal="center" vertical="center"/>
      <protection hidden="1"/>
    </xf>
    <xf numFmtId="41" fontId="33" fillId="17" borderId="6" xfId="1" applyNumberFormat="1" applyFont="1" applyFill="1" applyBorder="1" applyAlignment="1" applyProtection="1">
      <alignment horizontal="center" vertical="center"/>
      <protection hidden="1"/>
    </xf>
    <xf numFmtId="41" fontId="33" fillId="5" borderId="6" xfId="1" applyNumberFormat="1" applyFont="1" applyFill="1" applyBorder="1" applyAlignment="1" applyProtection="1">
      <alignment horizontal="center" vertical="center"/>
      <protection hidden="1"/>
    </xf>
    <xf numFmtId="171" fontId="31" fillId="13" borderId="8" xfId="1" applyNumberFormat="1" applyFont="1" applyFill="1" applyBorder="1" applyAlignment="1" applyProtection="1">
      <alignment horizontal="center" vertical="center"/>
      <protection hidden="1"/>
    </xf>
    <xf numFmtId="0" fontId="25" fillId="13" borderId="9" xfId="1" applyNumberFormat="1" applyFont="1" applyFill="1" applyBorder="1" applyAlignment="1" applyProtection="1">
      <alignment horizontal="center" vertical="center" wrapText="1"/>
      <protection hidden="1"/>
    </xf>
    <xf numFmtId="171" fontId="31" fillId="13" borderId="9" xfId="1" applyNumberFormat="1" applyFont="1" applyFill="1" applyBorder="1" applyAlignment="1" applyProtection="1">
      <alignment horizontal="center" vertical="center"/>
      <protection hidden="1"/>
    </xf>
    <xf numFmtId="43" fontId="31" fillId="13" borderId="9" xfId="1" applyFont="1" applyFill="1" applyBorder="1" applyAlignment="1" applyProtection="1">
      <alignment horizontal="center" vertical="center"/>
      <protection hidden="1"/>
    </xf>
    <xf numFmtId="43" fontId="31" fillId="12" borderId="9" xfId="1" applyFont="1" applyFill="1" applyBorder="1" applyAlignment="1" applyProtection="1">
      <alignment horizontal="center" vertical="center"/>
      <protection hidden="1"/>
    </xf>
    <xf numFmtId="43" fontId="33" fillId="12" borderId="9" xfId="1" applyFont="1" applyFill="1" applyBorder="1" applyAlignment="1" applyProtection="1">
      <alignment horizontal="center" vertical="center" wrapText="1"/>
      <protection hidden="1"/>
    </xf>
    <xf numFmtId="41" fontId="31" fillId="11" borderId="9" xfId="1" applyNumberFormat="1" applyFont="1" applyFill="1" applyBorder="1" applyAlignment="1" applyProtection="1">
      <alignment horizontal="center" vertical="center"/>
      <protection hidden="1"/>
    </xf>
    <xf numFmtId="43" fontId="31" fillId="5" borderId="9" xfId="1" applyFont="1" applyFill="1" applyBorder="1" applyAlignment="1" applyProtection="1">
      <alignment horizontal="center" vertical="center"/>
      <protection hidden="1"/>
    </xf>
    <xf numFmtId="41" fontId="31" fillId="6" borderId="9" xfId="1" applyNumberFormat="1" applyFont="1" applyFill="1" applyBorder="1" applyAlignment="1" applyProtection="1">
      <alignment horizontal="center" vertical="center"/>
      <protection hidden="1"/>
    </xf>
    <xf numFmtId="41" fontId="31" fillId="16" borderId="9" xfId="1" applyNumberFormat="1" applyFont="1" applyFill="1" applyBorder="1" applyAlignment="1" applyProtection="1">
      <alignment horizontal="center" vertical="center"/>
      <protection hidden="1"/>
    </xf>
    <xf numFmtId="41" fontId="31" fillId="14" borderId="9" xfId="1" applyNumberFormat="1" applyFont="1" applyFill="1" applyBorder="1" applyAlignment="1" applyProtection="1">
      <alignment horizontal="center" vertical="center"/>
      <protection hidden="1"/>
    </xf>
    <xf numFmtId="41" fontId="31" fillId="17" borderId="9" xfId="1" applyNumberFormat="1" applyFont="1" applyFill="1" applyBorder="1" applyAlignment="1" applyProtection="1">
      <alignment horizontal="center" vertical="center"/>
      <protection hidden="1"/>
    </xf>
    <xf numFmtId="41" fontId="31" fillId="5" borderId="9" xfId="1" applyNumberFormat="1" applyFont="1" applyFill="1" applyBorder="1" applyAlignment="1" applyProtection="1">
      <alignment horizontal="center" vertical="center"/>
      <protection hidden="1"/>
    </xf>
    <xf numFmtId="171" fontId="31" fillId="0" borderId="0" xfId="1" applyNumberFormat="1" applyFont="1" applyFill="1" applyAlignment="1" applyProtection="1">
      <alignment horizontal="center" vertical="center"/>
      <protection hidden="1"/>
    </xf>
    <xf numFmtId="0" fontId="31" fillId="0" borderId="0" xfId="1" applyNumberFormat="1" applyFont="1" applyFill="1" applyAlignment="1" applyProtection="1">
      <alignment vertical="center" wrapText="1"/>
      <protection hidden="1"/>
    </xf>
    <xf numFmtId="43" fontId="31" fillId="0" borderId="0" xfId="1" applyFont="1" applyFill="1" applyAlignment="1" applyProtection="1">
      <alignment horizontal="center" vertical="center"/>
      <protection hidden="1"/>
    </xf>
    <xf numFmtId="43" fontId="33" fillId="0" borderId="0" xfId="1" applyFont="1" applyFill="1" applyAlignment="1" applyProtection="1">
      <alignment horizontal="center" vertical="center"/>
      <protection hidden="1"/>
    </xf>
    <xf numFmtId="41" fontId="31" fillId="0" borderId="0" xfId="1" applyNumberFormat="1" applyFont="1" applyFill="1" applyAlignment="1" applyProtection="1">
      <alignment horizontal="center" vertical="center"/>
      <protection hidden="1"/>
    </xf>
    <xf numFmtId="0" fontId="37" fillId="12" borderId="6" xfId="0" applyFont="1" applyFill="1" applyBorder="1" applyAlignment="1">
      <alignment horizontal="center" vertical="center"/>
    </xf>
    <xf numFmtId="0" fontId="37" fillId="12" borderId="6" xfId="0" applyFont="1" applyFill="1" applyBorder="1" applyAlignment="1">
      <alignment horizontal="center" vertical="center" wrapText="1"/>
    </xf>
    <xf numFmtId="0" fontId="38" fillId="18" borderId="6" xfId="0" applyFont="1" applyFill="1" applyBorder="1" applyAlignment="1">
      <alignment horizontal="center" vertical="center"/>
    </xf>
    <xf numFmtId="0" fontId="38" fillId="18" borderId="6" xfId="0" applyFont="1" applyFill="1" applyBorder="1" applyAlignment="1">
      <alignment horizontal="center" vertical="center" wrapText="1"/>
    </xf>
    <xf numFmtId="0" fontId="37" fillId="18" borderId="6" xfId="0" applyFont="1" applyFill="1" applyBorder="1" applyAlignment="1">
      <alignment horizontal="center" vertical="center"/>
    </xf>
    <xf numFmtId="0" fontId="38" fillId="18" borderId="6" xfId="0" applyFont="1" applyFill="1" applyBorder="1" applyAlignment="1">
      <alignment vertical="center"/>
    </xf>
    <xf numFmtId="0" fontId="38" fillId="18" borderId="6" xfId="0" applyFont="1" applyFill="1" applyBorder="1"/>
    <xf numFmtId="171" fontId="38" fillId="18" borderId="6" xfId="1" applyNumberFormat="1" applyFont="1" applyFill="1" applyBorder="1"/>
    <xf numFmtId="171" fontId="38" fillId="18" borderId="6" xfId="1" applyNumberFormat="1" applyFont="1" applyFill="1" applyBorder="1" applyAlignment="1">
      <alignment horizontal="right" vertical="center"/>
    </xf>
    <xf numFmtId="0" fontId="38" fillId="14" borderId="6" xfId="0" applyFont="1" applyFill="1" applyBorder="1" applyAlignment="1">
      <alignment horizontal="center" vertical="center"/>
    </xf>
    <xf numFmtId="0" fontId="38" fillId="14" borderId="6" xfId="0" applyFont="1" applyFill="1" applyBorder="1" applyAlignment="1">
      <alignment horizontal="center" vertical="center" wrapText="1"/>
    </xf>
    <xf numFmtId="0" fontId="38" fillId="14" borderId="6" xfId="0" applyFont="1" applyFill="1" applyBorder="1" applyAlignment="1">
      <alignment vertical="center"/>
    </xf>
    <xf numFmtId="0" fontId="38" fillId="14" borderId="6" xfId="0" applyFont="1" applyFill="1" applyBorder="1"/>
    <xf numFmtId="171" fontId="38" fillId="14" borderId="6" xfId="1" applyNumberFormat="1" applyFont="1" applyFill="1" applyBorder="1"/>
    <xf numFmtId="171" fontId="38" fillId="14" borderId="6" xfId="1" applyNumberFormat="1" applyFont="1" applyFill="1" applyBorder="1" applyAlignment="1">
      <alignment horizontal="right" vertical="center"/>
    </xf>
    <xf numFmtId="2" fontId="38" fillId="14" borderId="6" xfId="0" applyNumberFormat="1" applyFont="1" applyFill="1" applyBorder="1"/>
    <xf numFmtId="0" fontId="38" fillId="18" borderId="6" xfId="0" applyFont="1" applyFill="1" applyBorder="1" applyAlignment="1">
      <alignment horizontal="center"/>
    </xf>
    <xf numFmtId="2" fontId="38" fillId="18" borderId="6" xfId="0" applyNumberFormat="1" applyFont="1" applyFill="1" applyBorder="1"/>
    <xf numFmtId="0" fontId="37" fillId="14" borderId="27" xfId="0" applyFont="1" applyFill="1" applyBorder="1" applyAlignment="1">
      <alignment horizontal="center" vertical="center"/>
    </xf>
    <xf numFmtId="43" fontId="3" fillId="19" borderId="6" xfId="1" applyFont="1" applyFill="1" applyBorder="1"/>
    <xf numFmtId="2" fontId="0" fillId="0" borderId="0" xfId="0" applyNumberFormat="1"/>
    <xf numFmtId="2" fontId="0" fillId="0" borderId="0" xfId="0" applyNumberFormat="1" applyAlignment="1">
      <alignment horizontal="right" vertical="center"/>
    </xf>
    <xf numFmtId="0" fontId="0" fillId="0" borderId="0" xfId="0" applyAlignment="1">
      <alignment horizontal="right" vertical="center"/>
    </xf>
    <xf numFmtId="0" fontId="38" fillId="0" borderId="0" xfId="0" applyFont="1"/>
    <xf numFmtId="43" fontId="38" fillId="14" borderId="6" xfId="1" applyFont="1" applyFill="1" applyBorder="1"/>
    <xf numFmtId="43" fontId="38" fillId="14" borderId="6" xfId="1" applyFont="1" applyFill="1" applyBorder="1" applyAlignment="1">
      <alignment horizontal="right" vertical="center"/>
    </xf>
    <xf numFmtId="43" fontId="38" fillId="18" borderId="6" xfId="1" applyFont="1" applyFill="1" applyBorder="1"/>
    <xf numFmtId="43" fontId="38" fillId="18" borderId="6" xfId="1" applyFont="1" applyFill="1" applyBorder="1" applyAlignment="1">
      <alignment horizontal="right" vertical="center"/>
    </xf>
    <xf numFmtId="171" fontId="39" fillId="19" borderId="6" xfId="0" applyNumberFormat="1" applyFont="1" applyFill="1" applyBorder="1"/>
    <xf numFmtId="0" fontId="39" fillId="19" borderId="6" xfId="0" applyFont="1" applyFill="1" applyBorder="1"/>
    <xf numFmtId="2" fontId="39" fillId="19" borderId="6" xfId="0" applyNumberFormat="1" applyFont="1" applyFill="1" applyBorder="1" applyAlignment="1">
      <alignment horizontal="right" vertical="center"/>
    </xf>
    <xf numFmtId="43" fontId="39" fillId="19" borderId="6" xfId="0" applyNumberFormat="1" applyFont="1" applyFill="1" applyBorder="1"/>
    <xf numFmtId="0" fontId="37" fillId="0" borderId="0" xfId="0" applyFont="1" applyAlignment="1">
      <alignment horizontal="center" vertical="center"/>
    </xf>
    <xf numFmtId="0" fontId="0" fillId="0" borderId="0" xfId="0" pivotButton="1"/>
    <xf numFmtId="10" fontId="7" fillId="4" borderId="6" xfId="0" applyNumberFormat="1" applyFont="1" applyFill="1" applyBorder="1" applyAlignment="1">
      <alignment horizontal="center" vertical="center"/>
    </xf>
    <xf numFmtId="165" fontId="7" fillId="0" borderId="6" xfId="0" applyNumberFormat="1" applyFont="1" applyBorder="1"/>
    <xf numFmtId="2" fontId="5" fillId="0" borderId="6" xfId="0" applyNumberFormat="1" applyFont="1" applyBorder="1" applyAlignment="1">
      <alignment horizontal="center" vertical="center"/>
    </xf>
    <xf numFmtId="43" fontId="0" fillId="0" borderId="0" xfId="0" applyNumberFormat="1"/>
    <xf numFmtId="171" fontId="0" fillId="0" borderId="0" xfId="0" applyNumberFormat="1"/>
    <xf numFmtId="0" fontId="37" fillId="13" borderId="27" xfId="0" applyFont="1" applyFill="1" applyBorder="1" applyAlignment="1">
      <alignment vertical="center"/>
    </xf>
    <xf numFmtId="2" fontId="5" fillId="0" borderId="28" xfId="0" applyNumberFormat="1" applyFont="1" applyBorder="1" applyAlignment="1">
      <alignment horizontal="center" vertical="center"/>
    </xf>
    <xf numFmtId="0" fontId="0" fillId="20" borderId="14" xfId="0" applyFill="1" applyBorder="1"/>
    <xf numFmtId="0" fontId="0" fillId="20" borderId="0" xfId="0" applyFill="1"/>
    <xf numFmtId="0" fontId="0" fillId="20" borderId="15" xfId="0" applyFill="1" applyBorder="1"/>
    <xf numFmtId="0" fontId="0" fillId="20" borderId="33" xfId="0" applyFill="1" applyBorder="1"/>
    <xf numFmtId="0" fontId="0" fillId="20" borderId="34" xfId="0" applyFill="1" applyBorder="1"/>
    <xf numFmtId="0" fontId="0" fillId="20" borderId="35" xfId="0" applyFill="1" applyBorder="1"/>
    <xf numFmtId="43" fontId="19" fillId="6" borderId="0" xfId="1" applyFont="1" applyFill="1" applyBorder="1"/>
    <xf numFmtId="43" fontId="19" fillId="0" borderId="0" xfId="1" applyFont="1"/>
    <xf numFmtId="0" fontId="19" fillId="0" borderId="6" xfId="0" applyFont="1" applyBorder="1"/>
    <xf numFmtId="41" fontId="19" fillId="0" borderId="6" xfId="0" applyNumberFormat="1" applyFont="1" applyBorder="1"/>
    <xf numFmtId="43" fontId="19" fillId="0" borderId="6" xfId="1" applyFont="1" applyBorder="1"/>
    <xf numFmtId="43" fontId="38" fillId="0" borderId="0" xfId="0" applyNumberFormat="1" applyFont="1"/>
    <xf numFmtId="0" fontId="43" fillId="15" borderId="31" xfId="0" applyFont="1" applyFill="1" applyBorder="1" applyAlignment="1">
      <alignment horizontal="center" vertical="center"/>
    </xf>
    <xf numFmtId="0" fontId="43" fillId="15" borderId="18" xfId="0" applyFont="1" applyFill="1" applyBorder="1" applyAlignment="1">
      <alignment horizontal="center" vertical="center"/>
    </xf>
    <xf numFmtId="0" fontId="43" fillId="15" borderId="32" xfId="0" applyFont="1" applyFill="1" applyBorder="1" applyAlignment="1">
      <alignment horizontal="center" vertical="center"/>
    </xf>
    <xf numFmtId="0" fontId="43" fillId="15" borderId="14" xfId="0" applyFont="1" applyFill="1" applyBorder="1" applyAlignment="1">
      <alignment horizontal="center" vertical="center"/>
    </xf>
    <xf numFmtId="0" fontId="43" fillId="15" borderId="0" xfId="0" applyFont="1" applyFill="1" applyAlignment="1">
      <alignment horizontal="center" vertical="center"/>
    </xf>
    <xf numFmtId="0" fontId="43" fillId="15" borderId="15" xfId="0" applyFont="1" applyFill="1" applyBorder="1" applyAlignment="1">
      <alignment horizontal="center" vertical="center"/>
    </xf>
    <xf numFmtId="0" fontId="43" fillId="15" borderId="33" xfId="0" applyFont="1" applyFill="1" applyBorder="1" applyAlignment="1">
      <alignment horizontal="center" vertical="center"/>
    </xf>
    <xf numFmtId="0" fontId="43" fillId="15" borderId="34" xfId="0" applyFont="1" applyFill="1" applyBorder="1" applyAlignment="1">
      <alignment horizontal="center" vertical="center"/>
    </xf>
    <xf numFmtId="0" fontId="43" fillId="15" borderId="35" xfId="0" applyFont="1" applyFill="1" applyBorder="1" applyAlignment="1">
      <alignment horizontal="center" vertical="center"/>
    </xf>
    <xf numFmtId="0" fontId="40" fillId="22" borderId="29" xfId="0" applyFont="1" applyFill="1" applyBorder="1" applyAlignment="1">
      <alignment vertical="center"/>
    </xf>
    <xf numFmtId="0" fontId="40" fillId="22" borderId="6" xfId="0" applyFont="1" applyFill="1" applyBorder="1" applyAlignment="1">
      <alignment vertical="center"/>
    </xf>
    <xf numFmtId="174" fontId="41" fillId="22" borderId="29" xfId="0" applyNumberFormat="1" applyFont="1" applyFill="1" applyBorder="1" applyAlignment="1">
      <alignment horizontal="center" vertical="center"/>
    </xf>
    <xf numFmtId="174" fontId="41" fillId="22" borderId="6" xfId="0" applyNumberFormat="1" applyFont="1" applyFill="1" applyBorder="1" applyAlignment="1">
      <alignment horizontal="center" vertical="center"/>
    </xf>
    <xf numFmtId="43" fontId="42" fillId="22" borderId="29" xfId="1" applyFont="1" applyFill="1" applyBorder="1" applyAlignment="1">
      <alignment horizontal="center" vertical="center"/>
    </xf>
    <xf numFmtId="43" fontId="42" fillId="22" borderId="6" xfId="1" applyFont="1" applyFill="1" applyBorder="1" applyAlignment="1">
      <alignment horizontal="center" vertical="center"/>
    </xf>
    <xf numFmtId="0" fontId="42" fillId="22" borderId="29" xfId="0" applyFont="1" applyFill="1" applyBorder="1" applyAlignment="1">
      <alignment horizontal="right" vertical="center"/>
    </xf>
    <xf numFmtId="0" fontId="42" fillId="22" borderId="6" xfId="0" applyFont="1" applyFill="1" applyBorder="1" applyAlignment="1">
      <alignment horizontal="right" vertical="center"/>
    </xf>
    <xf numFmtId="0" fontId="0" fillId="21" borderId="0" xfId="0" applyFill="1" applyAlignment="1">
      <alignment horizontal="center"/>
    </xf>
    <xf numFmtId="43" fontId="42" fillId="22" borderId="0" xfId="1" applyFont="1" applyFill="1" applyBorder="1" applyAlignment="1">
      <alignment horizontal="center" vertical="center"/>
    </xf>
    <xf numFmtId="43" fontId="42" fillId="22" borderId="15" xfId="1" applyFont="1" applyFill="1" applyBorder="1" applyAlignment="1">
      <alignment horizontal="center" vertical="center"/>
    </xf>
    <xf numFmtId="0" fontId="42" fillId="22" borderId="0" xfId="0" applyFont="1" applyFill="1" applyAlignment="1">
      <alignment horizontal="left" vertical="center"/>
    </xf>
    <xf numFmtId="17" fontId="7" fillId="5" borderId="8" xfId="0" applyNumberFormat="1" applyFont="1" applyFill="1" applyBorder="1" applyAlignment="1">
      <alignment horizontal="center" vertical="center"/>
    </xf>
    <xf numFmtId="17" fontId="7" fillId="5" borderId="9" xfId="0" applyNumberFormat="1" applyFont="1" applyFill="1" applyBorder="1" applyAlignment="1">
      <alignment horizontal="center" vertical="center"/>
    </xf>
    <xf numFmtId="0" fontId="7" fillId="4" borderId="2" xfId="0" applyFont="1" applyFill="1" applyBorder="1" applyAlignment="1">
      <alignment horizontal="center"/>
    </xf>
    <xf numFmtId="0" fontId="7" fillId="4" borderId="5" xfId="0" applyFont="1" applyFill="1" applyBorder="1" applyAlignment="1">
      <alignment horizontal="center"/>
    </xf>
    <xf numFmtId="0" fontId="7" fillId="4" borderId="11" xfId="0" applyFont="1" applyFill="1" applyBorder="1" applyAlignment="1">
      <alignment horizontal="center"/>
    </xf>
    <xf numFmtId="0" fontId="7" fillId="4" borderId="12" xfId="0" applyFont="1" applyFill="1" applyBorder="1" applyAlignment="1">
      <alignment horizontal="center"/>
    </xf>
    <xf numFmtId="0" fontId="7" fillId="5" borderId="2" xfId="0" applyFont="1" applyFill="1" applyBorder="1" applyAlignment="1">
      <alignment horizontal="center" vertical="center"/>
    </xf>
    <xf numFmtId="0" fontId="7" fillId="5" borderId="5"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7" fillId="5" borderId="6" xfId="0" applyFont="1" applyFill="1" applyBorder="1" applyAlignment="1">
      <alignment horizontal="center" vertical="center"/>
    </xf>
    <xf numFmtId="0" fontId="5" fillId="5" borderId="16" xfId="0" applyFont="1" applyFill="1" applyBorder="1" applyAlignment="1">
      <alignment horizontal="center" vertical="center"/>
    </xf>
    <xf numFmtId="0" fontId="5" fillId="5" borderId="17" xfId="0" applyFont="1" applyFill="1" applyBorder="1" applyAlignment="1">
      <alignment horizontal="center" vertical="center"/>
    </xf>
    <xf numFmtId="0" fontId="5" fillId="5" borderId="13"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13" xfId="0" applyFont="1" applyFill="1" applyBorder="1" applyAlignment="1">
      <alignment horizontal="center" vertical="center"/>
    </xf>
    <xf numFmtId="0" fontId="8" fillId="5" borderId="7" xfId="0" applyFont="1" applyFill="1" applyBorder="1" applyAlignment="1">
      <alignment horizontal="center" vertical="center" wrapText="1"/>
    </xf>
    <xf numFmtId="3" fontId="16" fillId="8" borderId="6" xfId="0" applyNumberFormat="1" applyFont="1" applyFill="1" applyBorder="1" applyAlignment="1">
      <alignment horizontal="right"/>
    </xf>
    <xf numFmtId="0" fontId="11" fillId="2" borderId="6" xfId="3" applyFont="1" applyBorder="1" applyAlignment="1">
      <alignment horizontal="center"/>
    </xf>
    <xf numFmtId="0" fontId="13" fillId="0" borderId="6" xfId="0" applyFont="1" applyBorder="1" applyAlignment="1">
      <alignment horizontal="center"/>
    </xf>
    <xf numFmtId="0" fontId="15" fillId="0" borderId="6" xfId="0" applyFont="1" applyBorder="1" applyAlignment="1">
      <alignment horizontal="center"/>
    </xf>
    <xf numFmtId="0" fontId="15" fillId="0" borderId="16" xfId="0" applyFont="1" applyBorder="1" applyAlignment="1">
      <alignment horizontal="center"/>
    </xf>
    <xf numFmtId="0" fontId="15" fillId="0" borderId="17" xfId="0" applyFont="1" applyBorder="1" applyAlignment="1">
      <alignment horizontal="center"/>
    </xf>
    <xf numFmtId="0" fontId="15" fillId="0" borderId="13" xfId="0" applyFont="1" applyBorder="1" applyAlignment="1">
      <alignment horizontal="center"/>
    </xf>
    <xf numFmtId="41" fontId="19" fillId="12" borderId="27" xfId="1" applyNumberFormat="1" applyFont="1" applyFill="1" applyBorder="1" applyAlignment="1">
      <alignment horizontal="center" vertical="center"/>
    </xf>
    <xf numFmtId="41" fontId="19" fillId="12" borderId="28" xfId="1" applyNumberFormat="1" applyFont="1" applyFill="1" applyBorder="1" applyAlignment="1">
      <alignment horizontal="center" vertical="center"/>
    </xf>
    <xf numFmtId="41" fontId="19" fillId="12" borderId="29" xfId="1" applyNumberFormat="1" applyFont="1" applyFill="1" applyBorder="1" applyAlignment="1">
      <alignment horizontal="center" vertical="center"/>
    </xf>
    <xf numFmtId="0" fontId="19" fillId="0" borderId="19" xfId="0" applyFont="1" applyBorder="1" applyAlignment="1">
      <alignment horizontal="center" vertical="center" wrapText="1"/>
    </xf>
    <xf numFmtId="0" fontId="19" fillId="0" borderId="20" xfId="0" applyFont="1" applyBorder="1" applyAlignment="1">
      <alignment horizontal="center" vertical="center" wrapText="1"/>
    </xf>
    <xf numFmtId="0" fontId="19" fillId="0" borderId="21"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0" xfId="0" applyFont="1" applyAlignment="1">
      <alignment horizontal="center" vertical="center" wrapText="1"/>
    </xf>
    <xf numFmtId="0" fontId="19" fillId="0" borderId="23" xfId="0" applyFont="1" applyBorder="1" applyAlignment="1">
      <alignment horizontal="center" vertical="center" wrapText="1"/>
    </xf>
    <xf numFmtId="0" fontId="19" fillId="0" borderId="24"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26" xfId="0" applyFont="1" applyBorder="1" applyAlignment="1">
      <alignment horizontal="center" vertical="center" wrapText="1"/>
    </xf>
    <xf numFmtId="43" fontId="20" fillId="10" borderId="6" xfId="1" applyFont="1" applyFill="1" applyBorder="1" applyAlignment="1">
      <alignment horizontal="center" vertical="center"/>
    </xf>
    <xf numFmtId="41" fontId="20" fillId="10" borderId="6" xfId="1" applyNumberFormat="1" applyFont="1" applyFill="1" applyBorder="1" applyAlignment="1">
      <alignment horizontal="center"/>
    </xf>
    <xf numFmtId="41" fontId="20" fillId="10" borderId="16" xfId="1" applyNumberFormat="1" applyFont="1" applyFill="1" applyBorder="1" applyAlignment="1">
      <alignment horizontal="center"/>
    </xf>
    <xf numFmtId="41" fontId="20" fillId="10" borderId="17" xfId="1" applyNumberFormat="1" applyFont="1" applyFill="1" applyBorder="1" applyAlignment="1">
      <alignment horizontal="center"/>
    </xf>
    <xf numFmtId="41" fontId="20" fillId="10" borderId="13" xfId="1" applyNumberFormat="1" applyFont="1" applyFill="1" applyBorder="1" applyAlignment="1">
      <alignment horizontal="center"/>
    </xf>
    <xf numFmtId="0" fontId="21" fillId="11" borderId="6" xfId="1" applyNumberFormat="1" applyFont="1" applyFill="1" applyBorder="1" applyAlignment="1">
      <alignment horizontal="center" vertical="center" wrapText="1"/>
    </xf>
    <xf numFmtId="43" fontId="21" fillId="11" borderId="6" xfId="1" applyFont="1" applyFill="1" applyBorder="1" applyAlignment="1">
      <alignment horizontal="center" vertical="center" wrapText="1"/>
    </xf>
    <xf numFmtId="41" fontId="21" fillId="11" borderId="6" xfId="1" applyNumberFormat="1" applyFont="1" applyFill="1" applyBorder="1" applyAlignment="1">
      <alignment horizontal="center" vertical="center" wrapText="1"/>
    </xf>
    <xf numFmtId="41" fontId="21" fillId="11" borderId="16" xfId="1" applyNumberFormat="1" applyFont="1" applyFill="1" applyBorder="1" applyAlignment="1">
      <alignment horizontal="center" vertical="center" wrapText="1"/>
    </xf>
    <xf numFmtId="41" fontId="21" fillId="11" borderId="13" xfId="1" applyNumberFormat="1" applyFont="1" applyFill="1" applyBorder="1" applyAlignment="1">
      <alignment horizontal="center" vertical="center" wrapText="1"/>
    </xf>
    <xf numFmtId="41" fontId="19" fillId="6" borderId="27" xfId="1" applyNumberFormat="1" applyFont="1" applyFill="1" applyBorder="1" applyAlignment="1">
      <alignment horizontal="center" vertical="center"/>
    </xf>
    <xf numFmtId="41" fontId="19" fillId="6" borderId="29" xfId="1" applyNumberFormat="1" applyFont="1" applyFill="1" applyBorder="1" applyAlignment="1">
      <alignment horizontal="center" vertical="center"/>
    </xf>
    <xf numFmtId="43" fontId="21" fillId="13" borderId="6" xfId="1" applyFont="1" applyFill="1" applyBorder="1" applyAlignment="1">
      <alignment horizontal="right" vertical="center"/>
    </xf>
    <xf numFmtId="43" fontId="21" fillId="14" borderId="6" xfId="1" applyFont="1" applyFill="1" applyBorder="1" applyAlignment="1">
      <alignment horizontal="right" vertical="center"/>
    </xf>
    <xf numFmtId="41" fontId="30" fillId="5" borderId="16" xfId="1" applyNumberFormat="1" applyFont="1" applyFill="1" applyBorder="1" applyAlignment="1" applyProtection="1">
      <alignment horizontal="center" vertical="center"/>
      <protection hidden="1"/>
    </xf>
    <xf numFmtId="41" fontId="30" fillId="5" borderId="17" xfId="1" applyNumberFormat="1" applyFont="1" applyFill="1" applyBorder="1" applyAlignment="1" applyProtection="1">
      <alignment horizontal="center" vertical="center"/>
      <protection hidden="1"/>
    </xf>
    <xf numFmtId="41" fontId="30" fillId="5" borderId="13" xfId="1" applyNumberFormat="1" applyFont="1" applyFill="1" applyBorder="1" applyAlignment="1" applyProtection="1">
      <alignment horizontal="center" vertical="center"/>
      <protection hidden="1"/>
    </xf>
    <xf numFmtId="43" fontId="30" fillId="13" borderId="6" xfId="1" applyFont="1" applyFill="1" applyBorder="1" applyAlignment="1" applyProtection="1">
      <alignment horizontal="center" vertical="center"/>
      <protection hidden="1"/>
    </xf>
    <xf numFmtId="43" fontId="28" fillId="12" borderId="16" xfId="1" applyFont="1" applyFill="1" applyBorder="1" applyAlignment="1" applyProtection="1">
      <alignment horizontal="center" vertical="center"/>
      <protection hidden="1"/>
    </xf>
    <xf numFmtId="43" fontId="28" fillId="12" borderId="17" xfId="1" applyFont="1" applyFill="1" applyBorder="1" applyAlignment="1" applyProtection="1">
      <alignment horizontal="center" vertical="center"/>
      <protection hidden="1"/>
    </xf>
    <xf numFmtId="43" fontId="28" fillId="12" borderId="13" xfId="1" applyFont="1" applyFill="1" applyBorder="1" applyAlignment="1" applyProtection="1">
      <alignment horizontal="center" vertical="center"/>
      <protection hidden="1"/>
    </xf>
    <xf numFmtId="41" fontId="29" fillId="11" borderId="16" xfId="1" applyNumberFormat="1" applyFont="1" applyFill="1" applyBorder="1" applyAlignment="1" applyProtection="1">
      <alignment horizontal="center" vertical="center"/>
      <protection hidden="1"/>
    </xf>
    <xf numFmtId="41" fontId="29" fillId="11" borderId="17" xfId="1" applyNumberFormat="1" applyFont="1" applyFill="1" applyBorder="1" applyAlignment="1" applyProtection="1">
      <alignment horizontal="center" vertical="center"/>
      <protection hidden="1"/>
    </xf>
    <xf numFmtId="41" fontId="29" fillId="11" borderId="13" xfId="1" applyNumberFormat="1" applyFont="1" applyFill="1" applyBorder="1" applyAlignment="1" applyProtection="1">
      <alignment horizontal="center" vertical="center"/>
      <protection hidden="1"/>
    </xf>
    <xf numFmtId="43" fontId="30" fillId="5" borderId="16" xfId="1" applyFont="1" applyFill="1" applyBorder="1" applyAlignment="1" applyProtection="1">
      <alignment horizontal="center" vertical="center"/>
      <protection hidden="1"/>
    </xf>
    <xf numFmtId="43" fontId="30" fillId="5" borderId="17" xfId="1" applyFont="1" applyFill="1" applyBorder="1" applyAlignment="1" applyProtection="1">
      <alignment horizontal="center" vertical="center"/>
      <protection hidden="1"/>
    </xf>
    <xf numFmtId="43" fontId="30" fillId="5" borderId="13" xfId="1" applyFont="1" applyFill="1" applyBorder="1" applyAlignment="1" applyProtection="1">
      <alignment horizontal="center" vertical="center"/>
      <protection hidden="1"/>
    </xf>
    <xf numFmtId="41" fontId="30" fillId="6" borderId="16" xfId="1" applyNumberFormat="1" applyFont="1" applyFill="1" applyBorder="1" applyAlignment="1" applyProtection="1">
      <alignment horizontal="center" vertical="center"/>
      <protection hidden="1"/>
    </xf>
    <xf numFmtId="41" fontId="30" fillId="6" borderId="17" xfId="1" applyNumberFormat="1" applyFont="1" applyFill="1" applyBorder="1" applyAlignment="1" applyProtection="1">
      <alignment horizontal="center" vertical="center"/>
      <protection hidden="1"/>
    </xf>
    <xf numFmtId="41" fontId="30" fillId="6" borderId="13" xfId="1" applyNumberFormat="1" applyFont="1" applyFill="1" applyBorder="1" applyAlignment="1" applyProtection="1">
      <alignment horizontal="center" vertical="center"/>
      <protection hidden="1"/>
    </xf>
    <xf numFmtId="41" fontId="30" fillId="16" borderId="16" xfId="1" applyNumberFormat="1" applyFont="1" applyFill="1" applyBorder="1" applyAlignment="1" applyProtection="1">
      <alignment horizontal="center" vertical="center"/>
      <protection hidden="1"/>
    </xf>
    <xf numFmtId="41" fontId="30" fillId="16" borderId="17" xfId="1" applyNumberFormat="1" applyFont="1" applyFill="1" applyBorder="1" applyAlignment="1" applyProtection="1">
      <alignment horizontal="center" vertical="center"/>
      <protection hidden="1"/>
    </xf>
    <xf numFmtId="41" fontId="30" fillId="16" borderId="13" xfId="1" applyNumberFormat="1" applyFont="1" applyFill="1" applyBorder="1" applyAlignment="1" applyProtection="1">
      <alignment horizontal="center" vertical="center"/>
      <protection hidden="1"/>
    </xf>
    <xf numFmtId="41" fontId="30" fillId="14" borderId="16" xfId="1" applyNumberFormat="1" applyFont="1" applyFill="1" applyBorder="1" applyAlignment="1" applyProtection="1">
      <alignment horizontal="center" vertical="center"/>
      <protection hidden="1"/>
    </xf>
    <xf numFmtId="41" fontId="30" fillId="14" borderId="17" xfId="1" applyNumberFormat="1" applyFont="1" applyFill="1" applyBorder="1" applyAlignment="1" applyProtection="1">
      <alignment horizontal="center" vertical="center"/>
      <protection hidden="1"/>
    </xf>
    <xf numFmtId="41" fontId="30" fillId="14" borderId="13" xfId="1" applyNumberFormat="1" applyFont="1" applyFill="1" applyBorder="1" applyAlignment="1" applyProtection="1">
      <alignment horizontal="center" vertical="center"/>
      <protection hidden="1"/>
    </xf>
    <xf numFmtId="0" fontId="38" fillId="18" borderId="6" xfId="0" applyFont="1" applyFill="1" applyBorder="1" applyAlignment="1">
      <alignment horizontal="center" vertical="center"/>
    </xf>
    <xf numFmtId="0" fontId="38" fillId="18" borderId="6" xfId="0" applyFont="1" applyFill="1" applyBorder="1" applyAlignment="1">
      <alignment horizontal="center" vertical="center" wrapText="1"/>
    </xf>
    <xf numFmtId="0" fontId="37" fillId="18" borderId="6" xfId="0" applyFont="1" applyFill="1" applyBorder="1" applyAlignment="1">
      <alignment horizontal="center" vertical="center"/>
    </xf>
    <xf numFmtId="0" fontId="35" fillId="13" borderId="6" xfId="1" applyNumberFormat="1" applyFont="1" applyFill="1" applyBorder="1" applyAlignment="1" applyProtection="1">
      <alignment horizontal="center" vertical="center" wrapText="1"/>
      <protection hidden="1"/>
    </xf>
    <xf numFmtId="0" fontId="36" fillId="12" borderId="16" xfId="0" applyFont="1" applyFill="1" applyBorder="1" applyAlignment="1">
      <alignment horizontal="center" vertical="center"/>
    </xf>
    <xf numFmtId="0" fontId="36" fillId="12" borderId="17" xfId="0" applyFont="1" applyFill="1" applyBorder="1" applyAlignment="1">
      <alignment horizontal="center" vertical="center"/>
    </xf>
    <xf numFmtId="0" fontId="36" fillId="12" borderId="13" xfId="0" applyFont="1" applyFill="1" applyBorder="1" applyAlignment="1">
      <alignment horizontal="center" vertical="center"/>
    </xf>
    <xf numFmtId="0" fontId="38" fillId="14" borderId="6" xfId="0" applyFont="1" applyFill="1" applyBorder="1" applyAlignment="1">
      <alignment horizontal="center" vertical="center"/>
    </xf>
    <xf numFmtId="0" fontId="38" fillId="14" borderId="6" xfId="0" applyFont="1" applyFill="1" applyBorder="1" applyAlignment="1">
      <alignment horizontal="center" vertical="center" wrapText="1"/>
    </xf>
    <xf numFmtId="0" fontId="37" fillId="14" borderId="6" xfId="0" applyFont="1" applyFill="1" applyBorder="1" applyAlignment="1">
      <alignment horizontal="center" vertical="center"/>
    </xf>
    <xf numFmtId="0" fontId="38" fillId="14" borderId="27" xfId="0" applyFont="1" applyFill="1" applyBorder="1" applyAlignment="1">
      <alignment horizontal="center" vertical="center"/>
    </xf>
    <xf numFmtId="0" fontId="38" fillId="14" borderId="28" xfId="0" applyFont="1" applyFill="1" applyBorder="1" applyAlignment="1">
      <alignment horizontal="center" vertical="center"/>
    </xf>
    <xf numFmtId="0" fontId="38" fillId="14" borderId="29" xfId="0" applyFont="1" applyFill="1" applyBorder="1" applyAlignment="1">
      <alignment horizontal="center" vertical="center"/>
    </xf>
    <xf numFmtId="0" fontId="38" fillId="14" borderId="27" xfId="0" applyFont="1" applyFill="1" applyBorder="1" applyAlignment="1">
      <alignment horizontal="center" vertical="center" wrapText="1"/>
    </xf>
    <xf numFmtId="0" fontId="38" fillId="14" borderId="28" xfId="0" applyFont="1" applyFill="1" applyBorder="1" applyAlignment="1">
      <alignment horizontal="center" vertical="center" wrapText="1"/>
    </xf>
    <xf numFmtId="0" fontId="37" fillId="14" borderId="27" xfId="0" applyFont="1" applyFill="1" applyBorder="1" applyAlignment="1">
      <alignment horizontal="center" vertical="center"/>
    </xf>
    <xf numFmtId="0" fontId="37" fillId="14" borderId="28" xfId="0" applyFont="1" applyFill="1" applyBorder="1" applyAlignment="1">
      <alignment horizontal="center" vertical="center"/>
    </xf>
    <xf numFmtId="0" fontId="3" fillId="19" borderId="6" xfId="0" applyFont="1" applyFill="1" applyBorder="1" applyAlignment="1">
      <alignment horizontal="right"/>
    </xf>
    <xf numFmtId="0" fontId="38" fillId="14" borderId="29" xfId="0" applyFont="1" applyFill="1" applyBorder="1" applyAlignment="1">
      <alignment horizontal="center" vertical="center" wrapText="1"/>
    </xf>
    <xf numFmtId="0" fontId="37" fillId="14" borderId="29" xfId="0" applyFont="1" applyFill="1" applyBorder="1" applyAlignment="1">
      <alignment horizontal="center" vertical="center"/>
    </xf>
    <xf numFmtId="0" fontId="37" fillId="13" borderId="6" xfId="0" applyFont="1" applyFill="1" applyBorder="1" applyAlignment="1">
      <alignment horizontal="center" vertical="center"/>
    </xf>
    <xf numFmtId="0" fontId="37" fillId="12" borderId="6" xfId="0" applyFont="1" applyFill="1" applyBorder="1" applyAlignment="1">
      <alignment horizontal="center" vertical="center"/>
    </xf>
    <xf numFmtId="0" fontId="39" fillId="19" borderId="16" xfId="0" applyFont="1" applyFill="1" applyBorder="1" applyAlignment="1">
      <alignment horizontal="right" vertical="center"/>
    </xf>
    <xf numFmtId="0" fontId="39" fillId="19" borderId="17" xfId="0" applyFont="1" applyFill="1" applyBorder="1" applyAlignment="1">
      <alignment horizontal="right" vertical="center"/>
    </xf>
    <xf numFmtId="0" fontId="39" fillId="19" borderId="13" xfId="0" applyFont="1" applyFill="1" applyBorder="1" applyAlignment="1">
      <alignment horizontal="right" vertical="center"/>
    </xf>
  </cellXfs>
  <cellStyles count="8">
    <cellStyle name="Calculation" xfId="3" builtinId="22"/>
    <cellStyle name="Comma" xfId="1" builtinId="3"/>
    <cellStyle name="Comma 3" xfId="6" xr:uid="{1D75DADC-2A57-42E6-B548-E351ED6BA420}"/>
    <cellStyle name="Currency 2" xfId="4" xr:uid="{0CA705B9-CB03-4FA0-8576-E730B391C019}"/>
    <cellStyle name="Normal" xfId="0" builtinId="0"/>
    <cellStyle name="Normal 2" xfId="7" xr:uid="{AD030F0B-C822-4F5F-8708-4D7046861978}"/>
    <cellStyle name="Normal 2 4" xfId="5" xr:uid="{1CB29105-C836-462F-BE83-24EBFECACD6F}"/>
    <cellStyle name="Percent" xfId="2" builtinId="5"/>
  </cellStyles>
  <dxfs count="4">
    <dxf>
      <font>
        <color rgb="FF9C0006"/>
      </font>
      <fill>
        <patternFill>
          <bgColor rgb="FFFFC7CE"/>
        </patternFill>
      </fill>
    </dxf>
    <dxf>
      <fill>
        <patternFill>
          <bgColor rgb="FFFFC7CE"/>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colors>
    <mruColors>
      <color rgb="FFF9838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INR - CURRENCY</a:t>
            </a:r>
          </a:p>
        </c:rich>
      </c:tx>
      <c:layout>
        <c:manualLayout>
          <c:xMode val="edge"/>
          <c:yMode val="edge"/>
          <c:x val="0.42725978164674089"/>
          <c:y val="2.6510679056113245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72418986031215E-2"/>
          <c:y val="0.26795820220567329"/>
          <c:w val="0.87090034508196945"/>
          <c:h val="0.56706865451432553"/>
        </c:manualLayout>
      </c:layout>
      <c:barChart>
        <c:barDir val="col"/>
        <c:grouping val="clustered"/>
        <c:varyColors val="0"/>
        <c:ser>
          <c:idx val="0"/>
          <c:order val="0"/>
          <c:tx>
            <c:strRef>
              <c:f>'Cash Flow Chart - INR'!$A$3</c:f>
              <c:strCache>
                <c:ptCount val="1"/>
                <c:pt idx="0">
                  <c:v>Planned Budget (EXCLUDING GST) </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2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'Cash Flow Chart - INR'!$B$2:$R$2</c:f>
              <c:numCache>
                <c:formatCode>mmm\-yy</c:formatCode>
                <c:ptCount val="17"/>
                <c:pt idx="0">
                  <c:v>45931</c:v>
                </c:pt>
                <c:pt idx="1">
                  <c:v>45962</c:v>
                </c:pt>
                <c:pt idx="2">
                  <c:v>45992</c:v>
                </c:pt>
                <c:pt idx="3">
                  <c:v>46023</c:v>
                </c:pt>
                <c:pt idx="4">
                  <c:v>46054</c:v>
                </c:pt>
                <c:pt idx="5">
                  <c:v>46082</c:v>
                </c:pt>
                <c:pt idx="6">
                  <c:v>46113</c:v>
                </c:pt>
                <c:pt idx="7">
                  <c:v>46143</c:v>
                </c:pt>
                <c:pt idx="8">
                  <c:v>46174</c:v>
                </c:pt>
                <c:pt idx="9">
                  <c:v>46204</c:v>
                </c:pt>
                <c:pt idx="10">
                  <c:v>46235</c:v>
                </c:pt>
                <c:pt idx="11">
                  <c:v>46266</c:v>
                </c:pt>
                <c:pt idx="12">
                  <c:v>46296</c:v>
                </c:pt>
                <c:pt idx="13">
                  <c:v>46327</c:v>
                </c:pt>
                <c:pt idx="14">
                  <c:v>46357</c:v>
                </c:pt>
                <c:pt idx="15">
                  <c:v>46388</c:v>
                </c:pt>
                <c:pt idx="16">
                  <c:v>46419</c:v>
                </c:pt>
              </c:numCache>
            </c:numRef>
          </c:cat>
          <c:val>
            <c:numRef>
              <c:f>'Cash Flow Chart - INR'!$B$3:$R$3</c:f>
              <c:numCache>
                <c:formatCode>_ [$₹-4009]\ * #,##0.00_ ;_ [$₹-4009]\ * \-#,##0.00_ ;_ [$₹-4009]\ * "-"??_ ;_ @_ </c:formatCode>
                <c:ptCount val="17"/>
                <c:pt idx="0">
                  <c:v>6485619.2326947041</c:v>
                </c:pt>
                <c:pt idx="1">
                  <c:v>8564401.2326947041</c:v>
                </c:pt>
                <c:pt idx="2">
                  <c:v>5975619.232694705</c:v>
                </c:pt>
                <c:pt idx="3">
                  <c:v>5975619.232694705</c:v>
                </c:pt>
                <c:pt idx="4">
                  <c:v>5975619.232694705</c:v>
                </c:pt>
                <c:pt idx="5">
                  <c:v>5975619.232694705</c:v>
                </c:pt>
                <c:pt idx="6">
                  <c:v>5975619.232694705</c:v>
                </c:pt>
                <c:pt idx="7">
                  <c:v>5975619.232694705</c:v>
                </c:pt>
                <c:pt idx="8">
                  <c:v>5975619.232694705</c:v>
                </c:pt>
                <c:pt idx="9">
                  <c:v>5975619.232694705</c:v>
                </c:pt>
                <c:pt idx="10">
                  <c:v>5975619.232694705</c:v>
                </c:pt>
                <c:pt idx="11">
                  <c:v>5975619.232694705</c:v>
                </c:pt>
                <c:pt idx="12">
                  <c:v>5975619.232694705</c:v>
                </c:pt>
                <c:pt idx="13">
                  <c:v>5975619.232694705</c:v>
                </c:pt>
                <c:pt idx="14">
                  <c:v>5975619.232694705</c:v>
                </c:pt>
                <c:pt idx="15">
                  <c:v>5975619.232694705</c:v>
                </c:pt>
                <c:pt idx="16">
                  <c:v>5975619.232694705</c:v>
                </c:pt>
              </c:numCache>
            </c:numRef>
          </c:val>
          <c:extLst>
            <c:ext xmlns:c16="http://schemas.microsoft.com/office/drawing/2014/chart" uri="{C3380CC4-5D6E-409C-BE32-E72D297353CC}">
              <c16:uniqueId val="{00000000-A860-4170-AA6D-F9A686FAE537}"/>
            </c:ext>
          </c:extLst>
        </c:ser>
        <c:ser>
          <c:idx val="2"/>
          <c:order val="2"/>
          <c:tx>
            <c:strRef>
              <c:f>'Cash Flow Chart - INR'!$A$5</c:f>
              <c:strCache>
                <c:ptCount val="1"/>
                <c:pt idx="0">
                  <c:v>Actual Work Done (EXCLUDING GST)</c:v>
                </c:pt>
              </c:strCache>
            </c:strRef>
          </c:tx>
          <c:spPr>
            <a:solidFill>
              <a:srgbClr val="F9838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'Cash Flow Chart - INR'!$B$2:$R$2</c:f>
              <c:numCache>
                <c:formatCode>mmm\-yy</c:formatCode>
                <c:ptCount val="17"/>
                <c:pt idx="0">
                  <c:v>45931</c:v>
                </c:pt>
                <c:pt idx="1">
                  <c:v>45962</c:v>
                </c:pt>
                <c:pt idx="2">
                  <c:v>45992</c:v>
                </c:pt>
                <c:pt idx="3">
                  <c:v>46023</c:v>
                </c:pt>
                <c:pt idx="4">
                  <c:v>46054</c:v>
                </c:pt>
                <c:pt idx="5">
                  <c:v>46082</c:v>
                </c:pt>
                <c:pt idx="6">
                  <c:v>46113</c:v>
                </c:pt>
                <c:pt idx="7">
                  <c:v>46143</c:v>
                </c:pt>
                <c:pt idx="8">
                  <c:v>46174</c:v>
                </c:pt>
                <c:pt idx="9">
                  <c:v>46204</c:v>
                </c:pt>
                <c:pt idx="10">
                  <c:v>46235</c:v>
                </c:pt>
                <c:pt idx="11">
                  <c:v>46266</c:v>
                </c:pt>
                <c:pt idx="12">
                  <c:v>46296</c:v>
                </c:pt>
                <c:pt idx="13">
                  <c:v>46327</c:v>
                </c:pt>
                <c:pt idx="14">
                  <c:v>46357</c:v>
                </c:pt>
                <c:pt idx="15">
                  <c:v>46388</c:v>
                </c:pt>
                <c:pt idx="16">
                  <c:v>46419</c:v>
                </c:pt>
              </c:numCache>
            </c:numRef>
          </c:cat>
          <c:val>
            <c:numRef>
              <c:f>'Cash Flow Chart - INR'!$B$5:$R$5</c:f>
              <c:numCache>
                <c:formatCode>_ [$₹-4009]\ * #,##0_ ;_ [$₹-4009]\ * \-#,##0_ ;_ [$₹-4009]\ * "-"??_ ;_ @_ </c:formatCode>
                <c:ptCount val="17"/>
                <c:pt idx="0">
                  <c:v>5650000</c:v>
                </c:pt>
                <c:pt idx="1">
                  <c:v>6735532</c:v>
                </c:pt>
                <c:pt idx="2">
                  <c:v>4993250</c:v>
                </c:pt>
                <c:pt idx="3">
                  <c:v>4930000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1-A860-4170-AA6D-F9A686FAE537}"/>
            </c:ext>
          </c:extLst>
        </c:ser>
        <c:dLbls>
          <c:showLegendKey val="0"/>
          <c:showVal val="0"/>
          <c:showCatName val="0"/>
          <c:showSerName val="0"/>
          <c:showPercent val="0"/>
          <c:showBubbleSize val="0"/>
        </c:dLbls>
        <c:gapWidth val="230"/>
        <c:axId val="779458816"/>
        <c:axId val="779466360"/>
      </c:barChart>
      <c:lineChart>
        <c:grouping val="standard"/>
        <c:varyColors val="0"/>
        <c:ser>
          <c:idx val="1"/>
          <c:order val="1"/>
          <c:tx>
            <c:strRef>
              <c:f>'Cash Flow Chart - INR'!$A$4</c:f>
              <c:strCache>
                <c:ptCount val="1"/>
                <c:pt idx="0">
                  <c:v>Planned Budget (EXCLUDING GST) Cumulative</c:v>
                </c:pt>
              </c:strCache>
            </c:strRef>
          </c:tx>
          <c:spPr>
            <a:ln w="31750" cap="rnd">
              <a:solidFill>
                <a:srgbClr val="0070C0"/>
              </a:solidFill>
              <a:round/>
            </a:ln>
            <a:effectLst/>
          </c:spPr>
          <c:marker>
            <c:symbol val="square"/>
            <c:size val="6"/>
            <c:spPr>
              <a:solidFill>
                <a:schemeClr val="accent2"/>
              </a:solidFill>
              <a:ln w="9525">
                <a:solidFill>
                  <a:schemeClr val="accent2"/>
                </a:solidFill>
                <a:round/>
              </a:ln>
              <a:effectLst/>
            </c:spPr>
          </c:marker>
          <c:dPt>
            <c:idx val="11"/>
            <c:marker>
              <c:symbol val="square"/>
              <c:size val="6"/>
              <c:spPr>
                <a:solidFill>
                  <a:srgbClr val="0070C0"/>
                </a:solidFill>
                <a:ln w="9525">
                  <a:solidFill>
                    <a:schemeClr val="accent2"/>
                  </a:solidFill>
                  <a:round/>
                </a:ln>
                <a:effectLst/>
              </c:spPr>
            </c:marker>
            <c:bubble3D val="0"/>
            <c:extLst>
              <c:ext xmlns:c16="http://schemas.microsoft.com/office/drawing/2014/chart" uri="{C3380CC4-5D6E-409C-BE32-E72D297353CC}">
                <c16:uniqueId val="{00000002-A860-4170-AA6D-F9A686FAE537}"/>
              </c:ext>
            </c:extLst>
          </c:dPt>
          <c:cat>
            <c:numRef>
              <c:f>'Cash Flow Chart - INR'!$B$2:$R$2</c:f>
              <c:numCache>
                <c:formatCode>mmm\-yy</c:formatCode>
                <c:ptCount val="17"/>
                <c:pt idx="0">
                  <c:v>45931</c:v>
                </c:pt>
                <c:pt idx="1">
                  <c:v>45962</c:v>
                </c:pt>
                <c:pt idx="2">
                  <c:v>45992</c:v>
                </c:pt>
                <c:pt idx="3">
                  <c:v>46023</c:v>
                </c:pt>
                <c:pt idx="4">
                  <c:v>46054</c:v>
                </c:pt>
                <c:pt idx="5">
                  <c:v>46082</c:v>
                </c:pt>
                <c:pt idx="6">
                  <c:v>46113</c:v>
                </c:pt>
                <c:pt idx="7">
                  <c:v>46143</c:v>
                </c:pt>
                <c:pt idx="8">
                  <c:v>46174</c:v>
                </c:pt>
                <c:pt idx="9">
                  <c:v>46204</c:v>
                </c:pt>
                <c:pt idx="10">
                  <c:v>46235</c:v>
                </c:pt>
                <c:pt idx="11">
                  <c:v>46266</c:v>
                </c:pt>
                <c:pt idx="12">
                  <c:v>46296</c:v>
                </c:pt>
                <c:pt idx="13">
                  <c:v>46327</c:v>
                </c:pt>
                <c:pt idx="14">
                  <c:v>46357</c:v>
                </c:pt>
                <c:pt idx="15">
                  <c:v>46388</c:v>
                </c:pt>
                <c:pt idx="16">
                  <c:v>46419</c:v>
                </c:pt>
              </c:numCache>
            </c:numRef>
          </c:cat>
          <c:val>
            <c:numRef>
              <c:f>'Cash Flow Chart - INR'!$B$4:$R$4</c:f>
              <c:numCache>
                <c:formatCode>_ [$₹-4009]\ * #,##0_ ;_ [$₹-4009]\ * \-#,##0_ ;_ [$₹-4009]\ * "-"??_ ;_ @_ </c:formatCode>
                <c:ptCount val="17"/>
                <c:pt idx="1">
                  <c:v>15050020.465389408</c:v>
                </c:pt>
                <c:pt idx="2">
                  <c:v>21025639.698084112</c:v>
                </c:pt>
                <c:pt idx="3">
                  <c:v>27001258.930778816</c:v>
                </c:pt>
                <c:pt idx="4">
                  <c:v>32976878.16347352</c:v>
                </c:pt>
                <c:pt idx="5">
                  <c:v>38952497.396168225</c:v>
                </c:pt>
                <c:pt idx="6">
                  <c:v>44928116.628862932</c:v>
                </c:pt>
                <c:pt idx="7">
                  <c:v>50903735.86155764</c:v>
                </c:pt>
                <c:pt idx="8">
                  <c:v>56879355.094252348</c:v>
                </c:pt>
                <c:pt idx="9">
                  <c:v>62854974.326947056</c:v>
                </c:pt>
                <c:pt idx="10">
                  <c:v>68830593.559641764</c:v>
                </c:pt>
                <c:pt idx="11">
                  <c:v>74806212.792336464</c:v>
                </c:pt>
                <c:pt idx="12">
                  <c:v>80781832.025031164</c:v>
                </c:pt>
                <c:pt idx="13">
                  <c:v>86757451.257725865</c:v>
                </c:pt>
                <c:pt idx="14">
                  <c:v>92733070.490420565</c:v>
                </c:pt>
                <c:pt idx="15">
                  <c:v>98708689.723115265</c:v>
                </c:pt>
                <c:pt idx="16">
                  <c:v>104684308.95580997</c:v>
                </c:pt>
              </c:numCache>
            </c:numRef>
          </c:val>
          <c:smooth val="0"/>
          <c:extLst>
            <c:ext xmlns:c16="http://schemas.microsoft.com/office/drawing/2014/chart" uri="{C3380CC4-5D6E-409C-BE32-E72D297353CC}">
              <c16:uniqueId val="{00000003-A860-4170-AA6D-F9A686FAE537}"/>
            </c:ext>
          </c:extLst>
        </c:ser>
        <c:ser>
          <c:idx val="3"/>
          <c:order val="3"/>
          <c:tx>
            <c:strRef>
              <c:f>'Cash Flow Chart - INR'!$A$6</c:f>
              <c:strCache>
                <c:ptCount val="1"/>
                <c:pt idx="0">
                  <c:v>Actual Work Done (EXCLUDING GST) Cumulative</c:v>
                </c:pt>
              </c:strCache>
            </c:strRef>
          </c:tx>
          <c:spPr>
            <a:ln w="31750" cap="rnd">
              <a:solidFill>
                <a:schemeClr val="accent4"/>
              </a:solidFill>
              <a:round/>
            </a:ln>
            <a:effectLst/>
          </c:spPr>
          <c:marker>
            <c:symbol val="x"/>
            <c:size val="6"/>
            <c:spPr>
              <a:noFill/>
              <a:ln w="9525">
                <a:solidFill>
                  <a:schemeClr val="accent4"/>
                </a:solidFill>
                <a:round/>
              </a:ln>
              <a:effectLst/>
            </c:spPr>
          </c:marker>
          <c:cat>
            <c:numRef>
              <c:f>'Cash Flow Chart - INR'!$B$2:$R$2</c:f>
              <c:numCache>
                <c:formatCode>mmm\-yy</c:formatCode>
                <c:ptCount val="17"/>
                <c:pt idx="0">
                  <c:v>45931</c:v>
                </c:pt>
                <c:pt idx="1">
                  <c:v>45962</c:v>
                </c:pt>
                <c:pt idx="2">
                  <c:v>45992</c:v>
                </c:pt>
                <c:pt idx="3">
                  <c:v>46023</c:v>
                </c:pt>
                <c:pt idx="4">
                  <c:v>46054</c:v>
                </c:pt>
                <c:pt idx="5">
                  <c:v>46082</c:v>
                </c:pt>
                <c:pt idx="6">
                  <c:v>46113</c:v>
                </c:pt>
                <c:pt idx="7">
                  <c:v>46143</c:v>
                </c:pt>
                <c:pt idx="8">
                  <c:v>46174</c:v>
                </c:pt>
                <c:pt idx="9">
                  <c:v>46204</c:v>
                </c:pt>
                <c:pt idx="10">
                  <c:v>46235</c:v>
                </c:pt>
                <c:pt idx="11">
                  <c:v>46266</c:v>
                </c:pt>
                <c:pt idx="12">
                  <c:v>46296</c:v>
                </c:pt>
                <c:pt idx="13">
                  <c:v>46327</c:v>
                </c:pt>
                <c:pt idx="14">
                  <c:v>46357</c:v>
                </c:pt>
                <c:pt idx="15">
                  <c:v>46388</c:v>
                </c:pt>
                <c:pt idx="16">
                  <c:v>46419</c:v>
                </c:pt>
              </c:numCache>
            </c:numRef>
          </c:cat>
          <c:val>
            <c:numRef>
              <c:f>'Cash Flow Chart - INR'!$B$6:$R$6</c:f>
              <c:numCache>
                <c:formatCode>_ [$₹-4009]\ * #,##0_ ;_ [$₹-4009]\ * \-#,##0_ ;_ [$₹-4009]\ * "-"??_ ;_ @_ </c:formatCode>
                <c:ptCount val="17"/>
                <c:pt idx="1">
                  <c:v>12385532</c:v>
                </c:pt>
                <c:pt idx="2">
                  <c:v>17378782</c:v>
                </c:pt>
                <c:pt idx="3">
                  <c:v>22308782</c:v>
                </c:pt>
              </c:numCache>
            </c:numRef>
          </c:val>
          <c:smooth val="0"/>
          <c:extLst>
            <c:ext xmlns:c16="http://schemas.microsoft.com/office/drawing/2014/chart" uri="{C3380CC4-5D6E-409C-BE32-E72D297353CC}">
              <c16:uniqueId val="{00000004-A860-4170-AA6D-F9A686FAE537}"/>
            </c:ext>
          </c:extLst>
        </c:ser>
        <c:dLbls>
          <c:showLegendKey val="0"/>
          <c:showVal val="0"/>
          <c:showCatName val="0"/>
          <c:showSerName val="0"/>
          <c:showPercent val="0"/>
          <c:showBubbleSize val="0"/>
        </c:dLbls>
        <c:marker val="1"/>
        <c:smooth val="0"/>
        <c:axId val="696763440"/>
        <c:axId val="696766064"/>
      </c:lineChart>
      <c:dateAx>
        <c:axId val="69676344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0" i="0" u="none" strike="noStrike" kern="1200" cap="all" spc="120" normalizeH="0" baseline="0">
                <a:solidFill>
                  <a:schemeClr val="tx1">
                    <a:lumMod val="65000"/>
                    <a:lumOff val="35000"/>
                  </a:schemeClr>
                </a:solidFill>
                <a:latin typeface="+mn-lt"/>
                <a:ea typeface="+mn-ea"/>
                <a:cs typeface="+mn-cs"/>
              </a:defRPr>
            </a:pPr>
            <a:endParaRPr lang="en-US"/>
          </a:p>
        </c:txPr>
        <c:crossAx val="696766064"/>
        <c:crosses val="autoZero"/>
        <c:auto val="1"/>
        <c:lblOffset val="100"/>
        <c:baseTimeUnit val="months"/>
      </c:dateAx>
      <c:valAx>
        <c:axId val="696766064"/>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763440"/>
        <c:crosses val="autoZero"/>
        <c:crossBetween val="between"/>
      </c:valAx>
      <c:valAx>
        <c:axId val="779466360"/>
        <c:scaling>
          <c:orientation val="minMax"/>
        </c:scaling>
        <c:delete val="0"/>
        <c:axPos val="r"/>
        <c:numFmt formatCode="_ [$₹-4009]\ * #,##0.00_ ;_ [$₹-4009]\ * \-#,##0.00_ ;_ [$₹-4009]\ * &quot;-&quot;??_ ;_ @_ "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458816"/>
        <c:crosses val="max"/>
        <c:crossBetween val="between"/>
      </c:valAx>
      <c:dateAx>
        <c:axId val="779458816"/>
        <c:scaling>
          <c:orientation val="minMax"/>
        </c:scaling>
        <c:delete val="1"/>
        <c:axPos val="b"/>
        <c:numFmt formatCode="mmm\-yy" sourceLinked="1"/>
        <c:majorTickMark val="out"/>
        <c:minorTickMark val="none"/>
        <c:tickLblPos val="nextTo"/>
        <c:crossAx val="779466360"/>
        <c:crosses val="autoZero"/>
        <c:auto val="1"/>
        <c:lblOffset val="100"/>
        <c:baseTimeUnit val="months"/>
      </c:dateAx>
      <c:spPr>
        <a:noFill/>
        <a:ln>
          <a:noFill/>
        </a:ln>
        <a:effectLst/>
      </c:spPr>
    </c:plotArea>
    <c:legend>
      <c:legendPos val="t"/>
      <c:layout>
        <c:manualLayout>
          <c:xMode val="edge"/>
          <c:yMode val="edge"/>
          <c:x val="8.4540807493163117E-2"/>
          <c:y val="9.3177678236837397E-2"/>
          <c:w val="0.89999997224405304"/>
          <c:h val="3.239106367628217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t>CPI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8073561235974399E-2"/>
          <c:y val="0.12856746913971381"/>
          <c:w val="0.80508316515152312"/>
          <c:h val="0.80451246924683995"/>
        </c:manualLayout>
      </c:layout>
      <c:lineChart>
        <c:grouping val="standard"/>
        <c:varyColors val="0"/>
        <c:ser>
          <c:idx val="0"/>
          <c:order val="0"/>
          <c:tx>
            <c:strRef>
              <c:f>Tracking!$A$26</c:f>
              <c:strCache>
                <c:ptCount val="1"/>
                <c:pt idx="0">
                  <c:v>CPI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Tracking!$B$2:$E$2</c:f>
              <c:numCache>
                <c:formatCode>mmm\-yy</c:formatCode>
                <c:ptCount val="4"/>
                <c:pt idx="0">
                  <c:v>45931</c:v>
                </c:pt>
                <c:pt idx="1">
                  <c:v>45962</c:v>
                </c:pt>
                <c:pt idx="2">
                  <c:v>45992</c:v>
                </c:pt>
                <c:pt idx="3">
                  <c:v>46023</c:v>
                </c:pt>
              </c:numCache>
            </c:numRef>
          </c:cat>
          <c:val>
            <c:numRef>
              <c:f>Tracking!$B$26:$E$26</c:f>
              <c:numCache>
                <c:formatCode>0.00</c:formatCode>
                <c:ptCount val="4"/>
                <c:pt idx="0">
                  <c:v>1.0331074883938467</c:v>
                </c:pt>
                <c:pt idx="1">
                  <c:v>1.1443730219714245</c:v>
                </c:pt>
                <c:pt idx="2">
                  <c:v>1.1967394447894066</c:v>
                </c:pt>
                <c:pt idx="3">
                  <c:v>1.090883835583212</c:v>
                </c:pt>
              </c:numCache>
            </c:numRef>
          </c:val>
          <c:smooth val="1"/>
          <c:extLst>
            <c:ext xmlns:c16="http://schemas.microsoft.com/office/drawing/2014/chart" uri="{C3380CC4-5D6E-409C-BE32-E72D297353CC}">
              <c16:uniqueId val="{00000000-EC3E-4BB0-BBFA-09D02B5711BD}"/>
            </c:ext>
          </c:extLst>
        </c:ser>
        <c:dLbls>
          <c:showLegendKey val="0"/>
          <c:showVal val="0"/>
          <c:showCatName val="0"/>
          <c:showSerName val="0"/>
          <c:showPercent val="0"/>
          <c:showBubbleSize val="0"/>
        </c:dLbls>
        <c:marker val="1"/>
        <c:smooth val="0"/>
        <c:axId val="1057600360"/>
        <c:axId val="1057603240"/>
      </c:lineChart>
      <c:dateAx>
        <c:axId val="105760036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603240"/>
        <c:crosses val="autoZero"/>
        <c:auto val="1"/>
        <c:lblOffset val="100"/>
        <c:baseTimeUnit val="months"/>
      </c:dateAx>
      <c:valAx>
        <c:axId val="10576032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6003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[Cashflow - Dashboard.xlsx]Dashboard!PivotTable4</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Steel Purchase- Dia</a:t>
            </a:r>
            <a:r>
              <a:rPr lang="en-US" baseline="0"/>
              <a:t>meter Wise Savings</a:t>
            </a:r>
            <a:endParaRPr lang="en-US"/>
          </a:p>
        </c:rich>
      </c:tx>
      <c:layout>
        <c:manualLayout>
          <c:xMode val="edge"/>
          <c:yMode val="edge"/>
          <c:x val="0.48077637902087522"/>
          <c:y val="3.1299212151956926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1"/>
          <c:showVal val="1"/>
          <c:showCatName val="0"/>
          <c:showSerName val="0"/>
          <c:showPercent val="0"/>
          <c:showBubbleSize val="0"/>
          <c:extLst>
            <c:ext xmlns:c15="http://schemas.microsoft.com/office/drawing/2012/chart" uri="{CE6537A1-D6FC-4f65-9D91-7224C49458BB}"/>
          </c:extLst>
        </c:dLbl>
      </c:pivotFmt>
      <c:pivotFmt>
        <c:idx val="21"/>
        <c:dLbl>
          <c:idx val="0"/>
          <c:showLegendKey val="1"/>
          <c:showVal val="1"/>
          <c:showCatName val="0"/>
          <c:showSerName val="0"/>
          <c:showPercent val="0"/>
          <c:showBubbleSize val="0"/>
          <c:extLst>
            <c:ext xmlns:c15="http://schemas.microsoft.com/office/drawing/2012/chart" uri="{CE6537A1-D6FC-4f65-9D91-7224C49458BB}"/>
          </c:extLst>
        </c:dLbl>
      </c:pivotFmt>
      <c:pivotFmt>
        <c:idx val="22"/>
        <c:dLbl>
          <c:idx val="0"/>
          <c:showLegendKey val="1"/>
          <c:showVal val="1"/>
          <c:showCatName val="0"/>
          <c:showSerName val="0"/>
          <c:showPercent val="0"/>
          <c:showBubbleSize val="0"/>
          <c:extLst>
            <c:ext xmlns:c15="http://schemas.microsoft.com/office/drawing/2012/chart" uri="{CE6537A1-D6FC-4f65-9D91-7224C49458BB}"/>
          </c:extLst>
        </c:dLbl>
      </c:pivotFmt>
      <c:pivotFmt>
        <c:idx val="23"/>
        <c:dLbl>
          <c:idx val="0"/>
          <c:showLegendKey val="1"/>
          <c:showVal val="1"/>
          <c:showCatName val="0"/>
          <c:showSerName val="0"/>
          <c:showPercent val="0"/>
          <c:showBubbleSize val="0"/>
          <c:extLst>
            <c:ext xmlns:c15="http://schemas.microsoft.com/office/drawing/2012/chart" uri="{CE6537A1-D6FC-4f65-9D91-7224C49458BB}"/>
          </c:extLst>
        </c:dLbl>
      </c:pivotFmt>
      <c:pivotFmt>
        <c:idx val="24"/>
        <c:dLbl>
          <c:idx val="0"/>
          <c:showLegendKey val="1"/>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Dashboard!$B$126</c:f>
              <c:strCache>
                <c:ptCount val="1"/>
                <c:pt idx="0">
                  <c:v>Total</c:v>
                </c:pt>
              </c:strCache>
            </c:strRef>
          </c:tx>
          <c:spPr>
            <a:solidFill>
              <a:schemeClr val="accent1"/>
            </a:solidFill>
            <a:ln>
              <a:noFill/>
            </a:ln>
            <a:effectLst/>
            <a:scene3d>
              <a:camera prst="orthographicFront"/>
              <a:lightRig rig="brightRoom" dir="t"/>
            </a:scene3d>
            <a:sp3d prstMaterial="flat">
              <a:bevelT w="50800" h="101600" prst="angle"/>
              <a:contourClr>
                <a:srgbClr val="00000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Dashboard!$A$127:$A$132</c:f>
              <c:strCache>
                <c:ptCount val="5"/>
                <c:pt idx="0">
                  <c:v>8</c:v>
                </c:pt>
                <c:pt idx="1">
                  <c:v>16</c:v>
                </c:pt>
                <c:pt idx="2">
                  <c:v>20</c:v>
                </c:pt>
                <c:pt idx="3">
                  <c:v>12</c:v>
                </c:pt>
                <c:pt idx="4">
                  <c:v>10</c:v>
                </c:pt>
              </c:strCache>
            </c:strRef>
          </c:cat>
          <c:val>
            <c:numRef>
              <c:f>Dashboard!$B$127:$B$132</c:f>
              <c:numCache>
                <c:formatCode>_ * #,##0_ ;_ * \-#,##0_ ;_ * "-"??_ ;_ @_ </c:formatCode>
                <c:ptCount val="5"/>
                <c:pt idx="0">
                  <c:v>479225.95559999999</c:v>
                </c:pt>
                <c:pt idx="1">
                  <c:v>398136.05950000003</c:v>
                </c:pt>
                <c:pt idx="2">
                  <c:v>317154.66750000004</c:v>
                </c:pt>
                <c:pt idx="3">
                  <c:v>238683.36299999998</c:v>
                </c:pt>
                <c:pt idx="4">
                  <c:v>83423.183999999979</c:v>
                </c:pt>
              </c:numCache>
            </c:numRef>
          </c:val>
          <c:extLst>
            <c:ext xmlns:c16="http://schemas.microsoft.com/office/drawing/2014/chart" uri="{C3380CC4-5D6E-409C-BE32-E72D297353CC}">
              <c16:uniqueId val="{00000000-5B2E-4E75-9D95-4BA7219C6EAE}"/>
            </c:ext>
          </c:extLst>
        </c:ser>
        <c:dLbls>
          <c:showLegendKey val="0"/>
          <c:showVal val="0"/>
          <c:showCatName val="0"/>
          <c:showSerName val="0"/>
          <c:showPercent val="0"/>
          <c:showBubbleSize val="0"/>
        </c:dLbls>
        <c:gapWidth val="150"/>
        <c:overlap val="100"/>
        <c:axId val="1057586320"/>
        <c:axId val="1057589200"/>
      </c:barChart>
      <c:valAx>
        <c:axId val="1057589200"/>
        <c:scaling>
          <c:orientation val="minMax"/>
        </c:scaling>
        <c:delete val="0"/>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586320"/>
        <c:crosses val="autoZero"/>
        <c:crossBetween val="between"/>
      </c:valAx>
      <c:catAx>
        <c:axId val="1057586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58920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[Cashflow - Dashboard.xlsx]Dashboard!PivotTable5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208604283284985E-2"/>
          <c:y val="0.14484573558567068"/>
          <c:w val="0.75382188437325115"/>
          <c:h val="0.72935341842898638"/>
        </c:manualLayout>
      </c:layout>
      <c:barChart>
        <c:barDir val="col"/>
        <c:grouping val="clustered"/>
        <c:varyColors val="0"/>
        <c:ser>
          <c:idx val="0"/>
          <c:order val="0"/>
          <c:tx>
            <c:strRef>
              <c:f>Dashboard!$B$136</c:f>
              <c:strCache>
                <c:ptCount val="1"/>
                <c:pt idx="0">
                  <c:v>Sum of Basic Rate Amount</c:v>
                </c:pt>
              </c:strCache>
            </c:strRef>
          </c:tx>
          <c:spPr>
            <a:solidFill>
              <a:schemeClr val="accent1">
                <a:shade val="76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Dashboard!$A$137:$A$141</c:f>
              <c:strCache>
                <c:ptCount val="4"/>
                <c:pt idx="0">
                  <c:v>1st Purchase</c:v>
                </c:pt>
                <c:pt idx="1">
                  <c:v>2nd Purchase</c:v>
                </c:pt>
                <c:pt idx="2">
                  <c:v>3rd Purchase</c:v>
                </c:pt>
                <c:pt idx="3">
                  <c:v>4th Purchase</c:v>
                </c:pt>
              </c:strCache>
            </c:strRef>
          </c:cat>
          <c:val>
            <c:numRef>
              <c:f>Dashboard!$B$137:$B$141</c:f>
              <c:numCache>
                <c:formatCode>_(* #,##0.00_);_(* \(#,##0.00\);_(* "-"??_);_(@_)</c:formatCode>
                <c:ptCount val="4"/>
                <c:pt idx="0">
                  <c:v>336000</c:v>
                </c:pt>
                <c:pt idx="1">
                  <c:v>196000</c:v>
                </c:pt>
                <c:pt idx="2">
                  <c:v>392000</c:v>
                </c:pt>
                <c:pt idx="3">
                  <c:v>336000</c:v>
                </c:pt>
              </c:numCache>
            </c:numRef>
          </c:val>
          <c:extLst>
            <c:ext xmlns:c16="http://schemas.microsoft.com/office/drawing/2014/chart" uri="{C3380CC4-5D6E-409C-BE32-E72D297353CC}">
              <c16:uniqueId val="{00000000-0961-4519-9CD9-665909B425A6}"/>
            </c:ext>
          </c:extLst>
        </c:ser>
        <c:ser>
          <c:idx val="1"/>
          <c:order val="1"/>
          <c:tx>
            <c:strRef>
              <c:f>Dashboard!$C$136</c:f>
              <c:strCache>
                <c:ptCount val="1"/>
                <c:pt idx="0">
                  <c:v>Sum of Purchase Rate Amount</c:v>
                </c:pt>
              </c:strCache>
            </c:strRef>
          </c:tx>
          <c:spPr>
            <a:solidFill>
              <a:schemeClr val="accent1">
                <a:tint val="77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Dashboard!$A$137:$A$141</c:f>
              <c:strCache>
                <c:ptCount val="4"/>
                <c:pt idx="0">
                  <c:v>1st Purchase</c:v>
                </c:pt>
                <c:pt idx="1">
                  <c:v>2nd Purchase</c:v>
                </c:pt>
                <c:pt idx="2">
                  <c:v>3rd Purchase</c:v>
                </c:pt>
                <c:pt idx="3">
                  <c:v>4th Purchase</c:v>
                </c:pt>
              </c:strCache>
            </c:strRef>
          </c:cat>
          <c:val>
            <c:numRef>
              <c:f>Dashboard!$C$137:$C$141</c:f>
              <c:numCache>
                <c:formatCode>_(* #,##0.00_);_(* \(#,##0.00\);_(* "-"??_);_(@_)</c:formatCode>
                <c:ptCount val="4"/>
                <c:pt idx="0">
                  <c:v>321093.90000000002</c:v>
                </c:pt>
                <c:pt idx="1">
                  <c:v>177734.55</c:v>
                </c:pt>
                <c:pt idx="2">
                  <c:v>335169.45</c:v>
                </c:pt>
                <c:pt idx="3">
                  <c:v>277118.7</c:v>
                </c:pt>
              </c:numCache>
            </c:numRef>
          </c:val>
          <c:extLst>
            <c:ext xmlns:c16="http://schemas.microsoft.com/office/drawing/2014/chart" uri="{C3380CC4-5D6E-409C-BE32-E72D297353CC}">
              <c16:uniqueId val="{00000001-0961-4519-9CD9-665909B425A6}"/>
            </c:ext>
          </c:extLst>
        </c:ser>
        <c:dLbls>
          <c:dLblPos val="outEnd"/>
          <c:showLegendKey val="0"/>
          <c:showVal val="1"/>
          <c:showCatName val="0"/>
          <c:showSerName val="0"/>
          <c:showPercent val="0"/>
          <c:showBubbleSize val="0"/>
        </c:dLbls>
        <c:gapWidth val="219"/>
        <c:overlap val="-27"/>
        <c:axId val="708751920"/>
        <c:axId val="708727440"/>
      </c:barChart>
      <c:catAx>
        <c:axId val="708751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Cement Purchase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727440"/>
        <c:crosses val="autoZero"/>
        <c:auto val="1"/>
        <c:lblAlgn val="ctr"/>
        <c:lblOffset val="100"/>
        <c:noMultiLvlLbl val="0"/>
      </c:catAx>
      <c:valAx>
        <c:axId val="708727440"/>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75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t>Cost Details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8899202443818137E-2"/>
          <c:y val="5.9539489412432221E-2"/>
          <c:w val="0.90048676309138287"/>
          <c:h val="0.84297583490853223"/>
        </c:manualLayout>
      </c:layout>
      <c:bar3DChart>
        <c:barDir val="col"/>
        <c:grouping val="stacked"/>
        <c:varyColors val="0"/>
        <c:ser>
          <c:idx val="0"/>
          <c:order val="0"/>
          <c:spPr>
            <a:solidFill>
              <a:schemeClr val="accent1"/>
            </a:solidFill>
            <a:ln>
              <a:noFill/>
            </a:ln>
            <a:effectLst/>
            <a:sp3d/>
          </c:spPr>
          <c:invertIfNegative val="0"/>
          <c:dLbls>
            <c:dLbl>
              <c:idx val="2"/>
              <c:layout>
                <c:manualLayout>
                  <c:x val="0"/>
                  <c:y val="-2.06699337097322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C1-4B90-B5E8-00D79AE99268}"/>
                </c:ext>
              </c:extLst>
            </c:dLbl>
            <c:spPr>
              <a:noFill/>
              <a:ln>
                <a:noFill/>
              </a:ln>
              <a:effectLst/>
            </c:spPr>
            <c:txPr>
              <a:bodyPr rot="-540000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Budget!$C$39:$C$41</c:f>
              <c:strCache>
                <c:ptCount val="3"/>
                <c:pt idx="0">
                  <c:v>Total Cost</c:v>
                </c:pt>
                <c:pt idx="1">
                  <c:v>Actual WO Amount</c:v>
                </c:pt>
                <c:pt idx="2">
                  <c:v>Total Certified Amount</c:v>
                </c:pt>
              </c:strCache>
            </c:strRef>
          </c:cat>
          <c:val>
            <c:numRef>
              <c:f>Budget!$D$39:$D$41</c:f>
              <c:numCache>
                <c:formatCode>_(* #,##0_);_(* \(#,##0\);_(* "-"_);_(@_)</c:formatCode>
                <c:ptCount val="3"/>
                <c:pt idx="0">
                  <c:v>104684308.95581</c:v>
                </c:pt>
                <c:pt idx="1">
                  <c:v>70113136</c:v>
                </c:pt>
                <c:pt idx="2">
                  <c:v>23435605.100000001</c:v>
                </c:pt>
              </c:numCache>
            </c:numRef>
          </c:val>
          <c:extLst>
            <c:ext xmlns:c16="http://schemas.microsoft.com/office/drawing/2014/chart" uri="{C3380CC4-5D6E-409C-BE32-E72D297353CC}">
              <c16:uniqueId val="{00000000-97C1-4B90-B5E8-00D79AE99268}"/>
            </c:ext>
          </c:extLst>
        </c:ser>
        <c:dLbls>
          <c:showLegendKey val="0"/>
          <c:showVal val="1"/>
          <c:showCatName val="0"/>
          <c:showSerName val="0"/>
          <c:showPercent val="0"/>
          <c:showBubbleSize val="0"/>
        </c:dLbls>
        <c:gapWidth val="150"/>
        <c:shape val="box"/>
        <c:axId val="861464320"/>
        <c:axId val="861466840"/>
        <c:axId val="0"/>
      </c:bar3DChart>
      <c:catAx>
        <c:axId val="861464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466840"/>
        <c:crosses val="autoZero"/>
        <c:auto val="1"/>
        <c:lblAlgn val="ctr"/>
        <c:lblOffset val="100"/>
        <c:noMultiLvlLbl val="0"/>
      </c:catAx>
      <c:valAx>
        <c:axId val="86146684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4643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all" spc="120" normalizeH="0" baseline="0">
                <a:solidFill>
                  <a:schemeClr val="tx1">
                    <a:lumMod val="65000"/>
                    <a:lumOff val="35000"/>
                  </a:schemeClr>
                </a:solidFill>
                <a:latin typeface="+mn-lt"/>
                <a:ea typeface="+mn-ea"/>
                <a:cs typeface="+mn-cs"/>
              </a:defRPr>
            </a:pPr>
            <a:r>
              <a:rPr lang="en-IN" sz="2000"/>
              <a:t>PROJECTED BUDGET - PLAN vs ACTUAL WORK DONE</a:t>
            </a:r>
          </a:p>
        </c:rich>
      </c:tx>
      <c:layout>
        <c:manualLayout>
          <c:xMode val="edge"/>
          <c:yMode val="edge"/>
          <c:x val="0.27825084066368494"/>
          <c:y val="3.1784977998278712E-3"/>
        </c:manualLayout>
      </c:layout>
      <c:overlay val="0"/>
      <c:spPr>
        <a:noFill/>
        <a:ln>
          <a:noFill/>
        </a:ln>
        <a:effectLst/>
      </c:spPr>
      <c:txPr>
        <a:bodyPr rot="0" spcFirstLastPara="1" vertOverflow="ellipsis" vert="horz" wrap="square" anchor="ctr" anchorCtr="1"/>
        <a:lstStyle/>
        <a:p>
          <a:pPr>
            <a:defRPr sz="20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Tracking!$A$3</c:f>
              <c:strCache>
                <c:ptCount val="1"/>
                <c:pt idx="0">
                  <c:v>Planned Budget (EXCLUDING GST) </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20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Tracking!$B$2:$U$2</c:f>
              <c:numCache>
                <c:formatCode>mmm\-yy</c:formatCode>
                <c:ptCount val="20"/>
                <c:pt idx="0">
                  <c:v>45931</c:v>
                </c:pt>
                <c:pt idx="1">
                  <c:v>45962</c:v>
                </c:pt>
                <c:pt idx="2">
                  <c:v>45992</c:v>
                </c:pt>
                <c:pt idx="3">
                  <c:v>46023</c:v>
                </c:pt>
                <c:pt idx="4">
                  <c:v>46054</c:v>
                </c:pt>
                <c:pt idx="5">
                  <c:v>46082</c:v>
                </c:pt>
                <c:pt idx="6">
                  <c:v>46113</c:v>
                </c:pt>
                <c:pt idx="7">
                  <c:v>46143</c:v>
                </c:pt>
                <c:pt idx="8">
                  <c:v>46174</c:v>
                </c:pt>
                <c:pt idx="9">
                  <c:v>46204</c:v>
                </c:pt>
                <c:pt idx="10">
                  <c:v>46235</c:v>
                </c:pt>
                <c:pt idx="11">
                  <c:v>46266</c:v>
                </c:pt>
                <c:pt idx="12">
                  <c:v>46296</c:v>
                </c:pt>
                <c:pt idx="13">
                  <c:v>46327</c:v>
                </c:pt>
                <c:pt idx="14">
                  <c:v>46357</c:v>
                </c:pt>
                <c:pt idx="15">
                  <c:v>46388</c:v>
                </c:pt>
                <c:pt idx="16">
                  <c:v>46419</c:v>
                </c:pt>
                <c:pt idx="17">
                  <c:v>46447</c:v>
                </c:pt>
                <c:pt idx="18">
                  <c:v>46478</c:v>
                </c:pt>
                <c:pt idx="19">
                  <c:v>46508</c:v>
                </c:pt>
              </c:numCache>
            </c:numRef>
          </c:cat>
          <c:val>
            <c:numRef>
              <c:f>Tracking!$B$3:$U$3</c:f>
              <c:numCache>
                <c:formatCode>_ [$₹-4009]\ * #,##0.00_ ;_ [$₹-4009]\ * \-#,##0.00_ ;_ [$₹-4009]\ * "-"??_ ;_ @_ </c:formatCode>
                <c:ptCount val="20"/>
                <c:pt idx="0">
                  <c:v>6485619.2326947041</c:v>
                </c:pt>
                <c:pt idx="1">
                  <c:v>8564401.2326947041</c:v>
                </c:pt>
                <c:pt idx="2">
                  <c:v>5975619.232694705</c:v>
                </c:pt>
                <c:pt idx="3">
                  <c:v>5975619.232694705</c:v>
                </c:pt>
                <c:pt idx="4">
                  <c:v>5975619.232694705</c:v>
                </c:pt>
                <c:pt idx="5">
                  <c:v>5975619.232694705</c:v>
                </c:pt>
                <c:pt idx="6">
                  <c:v>5975619.232694705</c:v>
                </c:pt>
                <c:pt idx="7">
                  <c:v>5975619.232694705</c:v>
                </c:pt>
                <c:pt idx="8">
                  <c:v>5975619.232694705</c:v>
                </c:pt>
                <c:pt idx="9">
                  <c:v>5975619.232694705</c:v>
                </c:pt>
                <c:pt idx="10">
                  <c:v>5975619.232694705</c:v>
                </c:pt>
                <c:pt idx="11">
                  <c:v>5975619.232694705</c:v>
                </c:pt>
                <c:pt idx="12">
                  <c:v>5975619.232694705</c:v>
                </c:pt>
                <c:pt idx="13">
                  <c:v>5975619.232694705</c:v>
                </c:pt>
                <c:pt idx="14">
                  <c:v>5975619.232694705</c:v>
                </c:pt>
                <c:pt idx="15">
                  <c:v>5975619.232694705</c:v>
                </c:pt>
                <c:pt idx="16">
                  <c:v>5975619.232694705</c:v>
                </c:pt>
              </c:numCache>
            </c:numRef>
          </c:val>
          <c:extLst>
            <c:ext xmlns:c16="http://schemas.microsoft.com/office/drawing/2014/chart" uri="{C3380CC4-5D6E-409C-BE32-E72D297353CC}">
              <c16:uniqueId val="{00000000-6FF7-4DA8-8D73-ECC70004D164}"/>
            </c:ext>
          </c:extLst>
        </c:ser>
        <c:ser>
          <c:idx val="1"/>
          <c:order val="1"/>
          <c:tx>
            <c:strRef>
              <c:f>Tracking!$A$24</c:f>
              <c:strCache>
                <c:ptCount val="1"/>
                <c:pt idx="0">
                  <c:v>Actual Work Done (EXCLUDING GST)</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20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Tracking!$B$2:$U$2</c:f>
              <c:numCache>
                <c:formatCode>mmm\-yy</c:formatCode>
                <c:ptCount val="20"/>
                <c:pt idx="0">
                  <c:v>45931</c:v>
                </c:pt>
                <c:pt idx="1">
                  <c:v>45962</c:v>
                </c:pt>
                <c:pt idx="2">
                  <c:v>45992</c:v>
                </c:pt>
                <c:pt idx="3">
                  <c:v>46023</c:v>
                </c:pt>
                <c:pt idx="4">
                  <c:v>46054</c:v>
                </c:pt>
                <c:pt idx="5">
                  <c:v>46082</c:v>
                </c:pt>
                <c:pt idx="6">
                  <c:v>46113</c:v>
                </c:pt>
                <c:pt idx="7">
                  <c:v>46143</c:v>
                </c:pt>
                <c:pt idx="8">
                  <c:v>46174</c:v>
                </c:pt>
                <c:pt idx="9">
                  <c:v>46204</c:v>
                </c:pt>
                <c:pt idx="10">
                  <c:v>46235</c:v>
                </c:pt>
                <c:pt idx="11">
                  <c:v>46266</c:v>
                </c:pt>
                <c:pt idx="12">
                  <c:v>46296</c:v>
                </c:pt>
                <c:pt idx="13">
                  <c:v>46327</c:v>
                </c:pt>
                <c:pt idx="14">
                  <c:v>46357</c:v>
                </c:pt>
                <c:pt idx="15">
                  <c:v>46388</c:v>
                </c:pt>
                <c:pt idx="16">
                  <c:v>46419</c:v>
                </c:pt>
                <c:pt idx="17">
                  <c:v>46447</c:v>
                </c:pt>
                <c:pt idx="18">
                  <c:v>46478</c:v>
                </c:pt>
                <c:pt idx="19">
                  <c:v>46508</c:v>
                </c:pt>
              </c:numCache>
            </c:numRef>
          </c:cat>
          <c:val>
            <c:numRef>
              <c:f>Tracking!$B$24:$U$24</c:f>
              <c:numCache>
                <c:formatCode>_ [$₹-4009]\ * #,##0_ ;_ [$₹-4009]\ * \-#,##0_ ;_ [$₹-4009]\ * "-"??_ ;_ @_ </c:formatCode>
                <c:ptCount val="20"/>
                <c:pt idx="0">
                  <c:v>5650000</c:v>
                </c:pt>
                <c:pt idx="1">
                  <c:v>6735532</c:v>
                </c:pt>
                <c:pt idx="2">
                  <c:v>4993250</c:v>
                </c:pt>
                <c:pt idx="3">
                  <c:v>4930000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6FF7-4DA8-8D73-ECC70004D164}"/>
            </c:ext>
          </c:extLst>
        </c:ser>
        <c:dLbls>
          <c:dLblPos val="outEnd"/>
          <c:showLegendKey val="0"/>
          <c:showVal val="1"/>
          <c:showCatName val="0"/>
          <c:showSerName val="0"/>
          <c:showPercent val="0"/>
          <c:showBubbleSize val="0"/>
        </c:dLbls>
        <c:gapWidth val="134"/>
        <c:overlap val="-45"/>
        <c:axId val="740392160"/>
        <c:axId val="740392816"/>
      </c:barChart>
      <c:dateAx>
        <c:axId val="74039216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2000" b="0" i="0" u="none" strike="noStrike" kern="1200" cap="all" spc="120" normalizeH="0" baseline="0">
                <a:solidFill>
                  <a:schemeClr val="tx1">
                    <a:lumMod val="65000"/>
                    <a:lumOff val="35000"/>
                  </a:schemeClr>
                </a:solidFill>
                <a:latin typeface="+mn-lt"/>
                <a:ea typeface="+mn-ea"/>
                <a:cs typeface="+mn-cs"/>
              </a:defRPr>
            </a:pPr>
            <a:endParaRPr lang="en-US"/>
          </a:p>
        </c:txPr>
        <c:crossAx val="740392816"/>
        <c:crosses val="autoZero"/>
        <c:auto val="1"/>
        <c:lblOffset val="100"/>
        <c:baseTimeUnit val="months"/>
      </c:dateAx>
      <c:valAx>
        <c:axId val="740392816"/>
        <c:scaling>
          <c:orientation val="minMax"/>
        </c:scaling>
        <c:delete val="1"/>
        <c:axPos val="l"/>
        <c:numFmt formatCode="_ [$₹-4009]\ * #,##0.00_ ;_ [$₹-4009]\ * \-#,##0.00_ ;_ [$₹-4009]\ * &quot;-&quot;??_ ;_ @_ " sourceLinked="1"/>
        <c:majorTickMark val="none"/>
        <c:minorTickMark val="none"/>
        <c:tickLblPos val="nextTo"/>
        <c:crossAx val="740392160"/>
        <c:crosses val="autoZero"/>
        <c:crossBetween val="between"/>
      </c:valAx>
      <c:spPr>
        <a:solidFill>
          <a:schemeClr val="accent1">
            <a:lumMod val="40000"/>
            <a:lumOff val="60000"/>
          </a:schemeClr>
        </a:solidFill>
        <a:ln>
          <a:noFill/>
        </a:ln>
        <a:effectLst/>
      </c:spPr>
    </c:plotArea>
    <c:legend>
      <c:legendPos val="t"/>
      <c:layout>
        <c:manualLayout>
          <c:xMode val="edge"/>
          <c:yMode val="edge"/>
          <c:x val="0.55682498898616628"/>
          <c:y val="7.1312595448452767E-2"/>
          <c:w val="0.44317503268321462"/>
          <c:h val="3.8119008976797854E-2"/>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INR - CURRENCY</a:t>
            </a:r>
          </a:p>
        </c:rich>
      </c:tx>
      <c:layout>
        <c:manualLayout>
          <c:xMode val="edge"/>
          <c:yMode val="edge"/>
          <c:x val="0.42725978164674089"/>
          <c:y val="2.6510679056113245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063255912106465"/>
          <c:y val="0.31922130586757225"/>
          <c:w val="0.72309639686998928"/>
          <c:h val="0.46361732034680497"/>
        </c:manualLayout>
      </c:layout>
      <c:barChart>
        <c:barDir val="col"/>
        <c:grouping val="clustered"/>
        <c:varyColors val="0"/>
        <c:ser>
          <c:idx val="0"/>
          <c:order val="0"/>
          <c:tx>
            <c:strRef>
              <c:f>'Cash Flow Chart - INR'!$A$3</c:f>
              <c:strCache>
                <c:ptCount val="1"/>
                <c:pt idx="0">
                  <c:v>Planned Budget (EXCLUDING GST) </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2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'Cash Flow Chart - INR'!$B$2:$R$2</c:f>
              <c:numCache>
                <c:formatCode>mmm\-yy</c:formatCode>
                <c:ptCount val="17"/>
                <c:pt idx="0">
                  <c:v>45931</c:v>
                </c:pt>
                <c:pt idx="1">
                  <c:v>45962</c:v>
                </c:pt>
                <c:pt idx="2">
                  <c:v>45992</c:v>
                </c:pt>
                <c:pt idx="3">
                  <c:v>46023</c:v>
                </c:pt>
                <c:pt idx="4">
                  <c:v>46054</c:v>
                </c:pt>
                <c:pt idx="5">
                  <c:v>46082</c:v>
                </c:pt>
                <c:pt idx="6">
                  <c:v>46113</c:v>
                </c:pt>
                <c:pt idx="7">
                  <c:v>46143</c:v>
                </c:pt>
                <c:pt idx="8">
                  <c:v>46174</c:v>
                </c:pt>
                <c:pt idx="9">
                  <c:v>46204</c:v>
                </c:pt>
                <c:pt idx="10">
                  <c:v>46235</c:v>
                </c:pt>
                <c:pt idx="11">
                  <c:v>46266</c:v>
                </c:pt>
                <c:pt idx="12">
                  <c:v>46296</c:v>
                </c:pt>
                <c:pt idx="13">
                  <c:v>46327</c:v>
                </c:pt>
                <c:pt idx="14">
                  <c:v>46357</c:v>
                </c:pt>
                <c:pt idx="15">
                  <c:v>46388</c:v>
                </c:pt>
                <c:pt idx="16">
                  <c:v>46419</c:v>
                </c:pt>
              </c:numCache>
            </c:numRef>
          </c:cat>
          <c:val>
            <c:numRef>
              <c:f>'Cash Flow Chart - INR'!$B$3:$R$3</c:f>
              <c:numCache>
                <c:formatCode>_ [$₹-4009]\ * #,##0.00_ ;_ [$₹-4009]\ * \-#,##0.00_ ;_ [$₹-4009]\ * "-"??_ ;_ @_ </c:formatCode>
                <c:ptCount val="17"/>
                <c:pt idx="0">
                  <c:v>6485619.2326947041</c:v>
                </c:pt>
                <c:pt idx="1">
                  <c:v>8564401.2326947041</c:v>
                </c:pt>
                <c:pt idx="2">
                  <c:v>5975619.232694705</c:v>
                </c:pt>
                <c:pt idx="3">
                  <c:v>5975619.232694705</c:v>
                </c:pt>
                <c:pt idx="4">
                  <c:v>5975619.232694705</c:v>
                </c:pt>
                <c:pt idx="5">
                  <c:v>5975619.232694705</c:v>
                </c:pt>
                <c:pt idx="6">
                  <c:v>5975619.232694705</c:v>
                </c:pt>
                <c:pt idx="7">
                  <c:v>5975619.232694705</c:v>
                </c:pt>
                <c:pt idx="8">
                  <c:v>5975619.232694705</c:v>
                </c:pt>
                <c:pt idx="9">
                  <c:v>5975619.232694705</c:v>
                </c:pt>
                <c:pt idx="10">
                  <c:v>5975619.232694705</c:v>
                </c:pt>
                <c:pt idx="11">
                  <c:v>5975619.232694705</c:v>
                </c:pt>
                <c:pt idx="12">
                  <c:v>5975619.232694705</c:v>
                </c:pt>
                <c:pt idx="13">
                  <c:v>5975619.232694705</c:v>
                </c:pt>
                <c:pt idx="14">
                  <c:v>5975619.232694705</c:v>
                </c:pt>
                <c:pt idx="15">
                  <c:v>5975619.232694705</c:v>
                </c:pt>
                <c:pt idx="16">
                  <c:v>5975619.232694705</c:v>
                </c:pt>
              </c:numCache>
            </c:numRef>
          </c:val>
          <c:extLst>
            <c:ext xmlns:c16="http://schemas.microsoft.com/office/drawing/2014/chart" uri="{C3380CC4-5D6E-409C-BE32-E72D297353CC}">
              <c16:uniqueId val="{00000000-C789-49CB-80F1-69822CF0D0EB}"/>
            </c:ext>
          </c:extLst>
        </c:ser>
        <c:ser>
          <c:idx val="2"/>
          <c:order val="2"/>
          <c:tx>
            <c:strRef>
              <c:f>'Cash Flow Chart - INR'!$A$5</c:f>
              <c:strCache>
                <c:ptCount val="1"/>
                <c:pt idx="0">
                  <c:v>Actual Work Done (EXCLUDING GST)</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'Cash Flow Chart - INR'!$B$2:$R$2</c:f>
              <c:numCache>
                <c:formatCode>mmm\-yy</c:formatCode>
                <c:ptCount val="17"/>
                <c:pt idx="0">
                  <c:v>45931</c:v>
                </c:pt>
                <c:pt idx="1">
                  <c:v>45962</c:v>
                </c:pt>
                <c:pt idx="2">
                  <c:v>45992</c:v>
                </c:pt>
                <c:pt idx="3">
                  <c:v>46023</c:v>
                </c:pt>
                <c:pt idx="4">
                  <c:v>46054</c:v>
                </c:pt>
                <c:pt idx="5">
                  <c:v>46082</c:v>
                </c:pt>
                <c:pt idx="6">
                  <c:v>46113</c:v>
                </c:pt>
                <c:pt idx="7">
                  <c:v>46143</c:v>
                </c:pt>
                <c:pt idx="8">
                  <c:v>46174</c:v>
                </c:pt>
                <c:pt idx="9">
                  <c:v>46204</c:v>
                </c:pt>
                <c:pt idx="10">
                  <c:v>46235</c:v>
                </c:pt>
                <c:pt idx="11">
                  <c:v>46266</c:v>
                </c:pt>
                <c:pt idx="12">
                  <c:v>46296</c:v>
                </c:pt>
                <c:pt idx="13">
                  <c:v>46327</c:v>
                </c:pt>
                <c:pt idx="14">
                  <c:v>46357</c:v>
                </c:pt>
                <c:pt idx="15">
                  <c:v>46388</c:v>
                </c:pt>
                <c:pt idx="16">
                  <c:v>46419</c:v>
                </c:pt>
              </c:numCache>
            </c:numRef>
          </c:cat>
          <c:val>
            <c:numRef>
              <c:f>'Cash Flow Chart - INR'!$B$5:$R$5</c:f>
              <c:numCache>
                <c:formatCode>_ [$₹-4009]\ * #,##0_ ;_ [$₹-4009]\ * \-#,##0_ ;_ [$₹-4009]\ * "-"??_ ;_ @_ </c:formatCode>
                <c:ptCount val="17"/>
                <c:pt idx="0">
                  <c:v>5650000</c:v>
                </c:pt>
                <c:pt idx="1">
                  <c:v>6735532</c:v>
                </c:pt>
                <c:pt idx="2">
                  <c:v>4993250</c:v>
                </c:pt>
                <c:pt idx="3">
                  <c:v>4930000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1-C789-49CB-80F1-69822CF0D0EB}"/>
            </c:ext>
          </c:extLst>
        </c:ser>
        <c:dLbls>
          <c:showLegendKey val="0"/>
          <c:showVal val="0"/>
          <c:showCatName val="0"/>
          <c:showSerName val="0"/>
          <c:showPercent val="0"/>
          <c:showBubbleSize val="0"/>
        </c:dLbls>
        <c:gapWidth val="230"/>
        <c:axId val="779458816"/>
        <c:axId val="779466360"/>
      </c:barChart>
      <c:lineChart>
        <c:grouping val="standard"/>
        <c:varyColors val="0"/>
        <c:ser>
          <c:idx val="1"/>
          <c:order val="1"/>
          <c:tx>
            <c:strRef>
              <c:f>'Cash Flow Chart - INR'!$A$4</c:f>
              <c:strCache>
                <c:ptCount val="1"/>
                <c:pt idx="0">
                  <c:v>Planned Budget (EXCLUDING GST) Cumulative</c:v>
                </c:pt>
              </c:strCache>
            </c:strRef>
          </c:tx>
          <c:spPr>
            <a:ln w="31750" cap="rnd">
              <a:solidFill>
                <a:srgbClr val="0070C0"/>
              </a:solidFill>
              <a:round/>
            </a:ln>
            <a:effectLst/>
          </c:spPr>
          <c:marker>
            <c:symbol val="square"/>
            <c:size val="6"/>
            <c:spPr>
              <a:solidFill>
                <a:schemeClr val="accent2"/>
              </a:solidFill>
              <a:ln w="9525">
                <a:solidFill>
                  <a:schemeClr val="accent2"/>
                </a:solidFill>
                <a:round/>
              </a:ln>
              <a:effectLst/>
            </c:spPr>
          </c:marker>
          <c:dPt>
            <c:idx val="11"/>
            <c:marker>
              <c:symbol val="square"/>
              <c:size val="6"/>
              <c:spPr>
                <a:solidFill>
                  <a:srgbClr val="0070C0"/>
                </a:solidFill>
                <a:ln w="9525">
                  <a:solidFill>
                    <a:schemeClr val="accent2"/>
                  </a:solidFill>
                  <a:round/>
                </a:ln>
                <a:effectLst/>
              </c:spPr>
            </c:marker>
            <c:bubble3D val="0"/>
            <c:extLst>
              <c:ext xmlns:c16="http://schemas.microsoft.com/office/drawing/2014/chart" uri="{C3380CC4-5D6E-409C-BE32-E72D297353CC}">
                <c16:uniqueId val="{00000002-C789-49CB-80F1-69822CF0D0EB}"/>
              </c:ext>
            </c:extLst>
          </c:dPt>
          <c:cat>
            <c:numRef>
              <c:f>'Cash Flow Chart - INR'!$B$2:$R$2</c:f>
              <c:numCache>
                <c:formatCode>mmm\-yy</c:formatCode>
                <c:ptCount val="17"/>
                <c:pt idx="0">
                  <c:v>45931</c:v>
                </c:pt>
                <c:pt idx="1">
                  <c:v>45962</c:v>
                </c:pt>
                <c:pt idx="2">
                  <c:v>45992</c:v>
                </c:pt>
                <c:pt idx="3">
                  <c:v>46023</c:v>
                </c:pt>
                <c:pt idx="4">
                  <c:v>46054</c:v>
                </c:pt>
                <c:pt idx="5">
                  <c:v>46082</c:v>
                </c:pt>
                <c:pt idx="6">
                  <c:v>46113</c:v>
                </c:pt>
                <c:pt idx="7">
                  <c:v>46143</c:v>
                </c:pt>
                <c:pt idx="8">
                  <c:v>46174</c:v>
                </c:pt>
                <c:pt idx="9">
                  <c:v>46204</c:v>
                </c:pt>
                <c:pt idx="10">
                  <c:v>46235</c:v>
                </c:pt>
                <c:pt idx="11">
                  <c:v>46266</c:v>
                </c:pt>
                <c:pt idx="12">
                  <c:v>46296</c:v>
                </c:pt>
                <c:pt idx="13">
                  <c:v>46327</c:v>
                </c:pt>
                <c:pt idx="14">
                  <c:v>46357</c:v>
                </c:pt>
                <c:pt idx="15">
                  <c:v>46388</c:v>
                </c:pt>
                <c:pt idx="16">
                  <c:v>46419</c:v>
                </c:pt>
              </c:numCache>
            </c:numRef>
          </c:cat>
          <c:val>
            <c:numRef>
              <c:f>'Cash Flow Chart - INR'!$B$4:$R$4</c:f>
              <c:numCache>
                <c:formatCode>_ [$₹-4009]\ * #,##0_ ;_ [$₹-4009]\ * \-#,##0_ ;_ [$₹-4009]\ * "-"??_ ;_ @_ </c:formatCode>
                <c:ptCount val="17"/>
                <c:pt idx="1">
                  <c:v>15050020.465389408</c:v>
                </c:pt>
                <c:pt idx="2">
                  <c:v>21025639.698084112</c:v>
                </c:pt>
                <c:pt idx="3">
                  <c:v>27001258.930778816</c:v>
                </c:pt>
                <c:pt idx="4">
                  <c:v>32976878.16347352</c:v>
                </c:pt>
                <c:pt idx="5">
                  <c:v>38952497.396168225</c:v>
                </c:pt>
                <c:pt idx="6">
                  <c:v>44928116.628862932</c:v>
                </c:pt>
                <c:pt idx="7">
                  <c:v>50903735.86155764</c:v>
                </c:pt>
                <c:pt idx="8">
                  <c:v>56879355.094252348</c:v>
                </c:pt>
                <c:pt idx="9">
                  <c:v>62854974.326947056</c:v>
                </c:pt>
                <c:pt idx="10">
                  <c:v>68830593.559641764</c:v>
                </c:pt>
                <c:pt idx="11">
                  <c:v>74806212.792336464</c:v>
                </c:pt>
                <c:pt idx="12">
                  <c:v>80781832.025031164</c:v>
                </c:pt>
                <c:pt idx="13">
                  <c:v>86757451.257725865</c:v>
                </c:pt>
                <c:pt idx="14">
                  <c:v>92733070.490420565</c:v>
                </c:pt>
                <c:pt idx="15">
                  <c:v>98708689.723115265</c:v>
                </c:pt>
                <c:pt idx="16">
                  <c:v>104684308.95580997</c:v>
                </c:pt>
              </c:numCache>
            </c:numRef>
          </c:val>
          <c:smooth val="0"/>
          <c:extLst>
            <c:ext xmlns:c16="http://schemas.microsoft.com/office/drawing/2014/chart" uri="{C3380CC4-5D6E-409C-BE32-E72D297353CC}">
              <c16:uniqueId val="{00000003-C789-49CB-80F1-69822CF0D0EB}"/>
            </c:ext>
          </c:extLst>
        </c:ser>
        <c:ser>
          <c:idx val="3"/>
          <c:order val="3"/>
          <c:tx>
            <c:strRef>
              <c:f>'Cash Flow Chart - INR'!$A$6</c:f>
              <c:strCache>
                <c:ptCount val="1"/>
                <c:pt idx="0">
                  <c:v>Actual Work Done (EXCLUDING GST) Cumulative</c:v>
                </c:pt>
              </c:strCache>
            </c:strRef>
          </c:tx>
          <c:spPr>
            <a:ln w="31750" cap="rnd">
              <a:solidFill>
                <a:schemeClr val="accent4"/>
              </a:solidFill>
              <a:round/>
            </a:ln>
            <a:effectLst/>
          </c:spPr>
          <c:marker>
            <c:symbol val="x"/>
            <c:size val="6"/>
            <c:spPr>
              <a:noFill/>
              <a:ln w="9525">
                <a:solidFill>
                  <a:schemeClr val="accent4"/>
                </a:solidFill>
                <a:round/>
              </a:ln>
              <a:effectLst/>
            </c:spPr>
          </c:marker>
          <c:cat>
            <c:numRef>
              <c:f>'Cash Flow Chart - INR'!$B$2:$R$2</c:f>
              <c:numCache>
                <c:formatCode>mmm\-yy</c:formatCode>
                <c:ptCount val="17"/>
                <c:pt idx="0">
                  <c:v>45931</c:v>
                </c:pt>
                <c:pt idx="1">
                  <c:v>45962</c:v>
                </c:pt>
                <c:pt idx="2">
                  <c:v>45992</c:v>
                </c:pt>
                <c:pt idx="3">
                  <c:v>46023</c:v>
                </c:pt>
                <c:pt idx="4">
                  <c:v>46054</c:v>
                </c:pt>
                <c:pt idx="5">
                  <c:v>46082</c:v>
                </c:pt>
                <c:pt idx="6">
                  <c:v>46113</c:v>
                </c:pt>
                <c:pt idx="7">
                  <c:v>46143</c:v>
                </c:pt>
                <c:pt idx="8">
                  <c:v>46174</c:v>
                </c:pt>
                <c:pt idx="9">
                  <c:v>46204</c:v>
                </c:pt>
                <c:pt idx="10">
                  <c:v>46235</c:v>
                </c:pt>
                <c:pt idx="11">
                  <c:v>46266</c:v>
                </c:pt>
                <c:pt idx="12">
                  <c:v>46296</c:v>
                </c:pt>
                <c:pt idx="13">
                  <c:v>46327</c:v>
                </c:pt>
                <c:pt idx="14">
                  <c:v>46357</c:v>
                </c:pt>
                <c:pt idx="15">
                  <c:v>46388</c:v>
                </c:pt>
                <c:pt idx="16">
                  <c:v>46419</c:v>
                </c:pt>
              </c:numCache>
            </c:numRef>
          </c:cat>
          <c:val>
            <c:numRef>
              <c:f>'Cash Flow Chart - INR'!$B$6:$R$6</c:f>
              <c:numCache>
                <c:formatCode>_ [$₹-4009]\ * #,##0_ ;_ [$₹-4009]\ * \-#,##0_ ;_ [$₹-4009]\ * "-"??_ ;_ @_ </c:formatCode>
                <c:ptCount val="17"/>
                <c:pt idx="1">
                  <c:v>12385532</c:v>
                </c:pt>
                <c:pt idx="2">
                  <c:v>17378782</c:v>
                </c:pt>
                <c:pt idx="3">
                  <c:v>22308782</c:v>
                </c:pt>
              </c:numCache>
            </c:numRef>
          </c:val>
          <c:smooth val="0"/>
          <c:extLst>
            <c:ext xmlns:c16="http://schemas.microsoft.com/office/drawing/2014/chart" uri="{C3380CC4-5D6E-409C-BE32-E72D297353CC}">
              <c16:uniqueId val="{00000004-C789-49CB-80F1-69822CF0D0EB}"/>
            </c:ext>
          </c:extLst>
        </c:ser>
        <c:dLbls>
          <c:showLegendKey val="0"/>
          <c:showVal val="0"/>
          <c:showCatName val="0"/>
          <c:showSerName val="0"/>
          <c:showPercent val="0"/>
          <c:showBubbleSize val="0"/>
        </c:dLbls>
        <c:marker val="1"/>
        <c:smooth val="0"/>
        <c:axId val="696763440"/>
        <c:axId val="696766064"/>
      </c:lineChart>
      <c:dateAx>
        <c:axId val="69676344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0" i="0" u="none" strike="noStrike" kern="1200" cap="all" spc="120" normalizeH="0" baseline="0">
                <a:solidFill>
                  <a:schemeClr val="tx1">
                    <a:lumMod val="65000"/>
                    <a:lumOff val="35000"/>
                  </a:schemeClr>
                </a:solidFill>
                <a:latin typeface="+mn-lt"/>
                <a:ea typeface="+mn-ea"/>
                <a:cs typeface="+mn-cs"/>
              </a:defRPr>
            </a:pPr>
            <a:endParaRPr lang="en-US"/>
          </a:p>
        </c:txPr>
        <c:crossAx val="696766064"/>
        <c:crosses val="autoZero"/>
        <c:auto val="1"/>
        <c:lblOffset val="100"/>
        <c:baseTimeUnit val="months"/>
      </c:dateAx>
      <c:valAx>
        <c:axId val="696766064"/>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763440"/>
        <c:crosses val="autoZero"/>
        <c:crossBetween val="between"/>
      </c:valAx>
      <c:valAx>
        <c:axId val="779466360"/>
        <c:scaling>
          <c:orientation val="minMax"/>
        </c:scaling>
        <c:delete val="0"/>
        <c:axPos val="r"/>
        <c:numFmt formatCode="_ [$₹-4009]\ * #,##0.00_ ;_ [$₹-4009]\ * \-#,##0.00_ ;_ [$₹-4009]\ * &quot;-&quot;??_ ;_ @_ "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458816"/>
        <c:crosses val="max"/>
        <c:crossBetween val="between"/>
      </c:valAx>
      <c:dateAx>
        <c:axId val="779458816"/>
        <c:scaling>
          <c:orientation val="minMax"/>
        </c:scaling>
        <c:delete val="1"/>
        <c:axPos val="b"/>
        <c:numFmt formatCode="mmm\-yy" sourceLinked="1"/>
        <c:majorTickMark val="out"/>
        <c:minorTickMark val="none"/>
        <c:tickLblPos val="nextTo"/>
        <c:crossAx val="779466360"/>
        <c:crosses val="autoZero"/>
        <c:auto val="1"/>
        <c:lblOffset val="100"/>
        <c:baseTimeUnit val="months"/>
      </c:dateAx>
      <c:spPr>
        <a:noFill/>
        <a:ln>
          <a:noFill/>
        </a:ln>
        <a:effectLst/>
      </c:spPr>
    </c:plotArea>
    <c:legend>
      <c:legendPos val="t"/>
      <c:layout>
        <c:manualLayout>
          <c:xMode val="edge"/>
          <c:yMode val="edge"/>
          <c:x val="5.1660756269062281E-4"/>
          <c:y val="8.1438096304312674E-2"/>
          <c:w val="0.89999997224405304"/>
          <c:h val="3.2391063676282174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'Cash Flow Chart - INR'!$A$3</c:f>
              <c:strCache>
                <c:ptCount val="1"/>
                <c:pt idx="0">
                  <c:v>Planned Budget (EXCLUDING GST)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'Cash Flow Chart - INR'!$B$2:$R$2</c:f>
              <c:numCache>
                <c:formatCode>mmm\-yy</c:formatCode>
                <c:ptCount val="17"/>
                <c:pt idx="0">
                  <c:v>45931</c:v>
                </c:pt>
                <c:pt idx="1">
                  <c:v>45962</c:v>
                </c:pt>
                <c:pt idx="2">
                  <c:v>45992</c:v>
                </c:pt>
                <c:pt idx="3">
                  <c:v>46023</c:v>
                </c:pt>
                <c:pt idx="4">
                  <c:v>46054</c:v>
                </c:pt>
                <c:pt idx="5">
                  <c:v>46082</c:v>
                </c:pt>
                <c:pt idx="6">
                  <c:v>46113</c:v>
                </c:pt>
                <c:pt idx="7">
                  <c:v>46143</c:v>
                </c:pt>
                <c:pt idx="8">
                  <c:v>46174</c:v>
                </c:pt>
                <c:pt idx="9">
                  <c:v>46204</c:v>
                </c:pt>
                <c:pt idx="10">
                  <c:v>46235</c:v>
                </c:pt>
                <c:pt idx="11">
                  <c:v>46266</c:v>
                </c:pt>
                <c:pt idx="12">
                  <c:v>46296</c:v>
                </c:pt>
                <c:pt idx="13">
                  <c:v>46327</c:v>
                </c:pt>
                <c:pt idx="14">
                  <c:v>46357</c:v>
                </c:pt>
                <c:pt idx="15">
                  <c:v>46388</c:v>
                </c:pt>
                <c:pt idx="16">
                  <c:v>46419</c:v>
                </c:pt>
              </c:numCache>
            </c:numRef>
          </c:cat>
          <c:val>
            <c:numRef>
              <c:f>'Cash Flow Chart - INR'!$B$3:$R$3</c:f>
              <c:numCache>
                <c:formatCode>_ [$₹-4009]\ * #,##0.00_ ;_ [$₹-4009]\ * \-#,##0.00_ ;_ [$₹-4009]\ * "-"??_ ;_ @_ </c:formatCode>
                <c:ptCount val="17"/>
                <c:pt idx="0">
                  <c:v>6485619.2326947041</c:v>
                </c:pt>
                <c:pt idx="1">
                  <c:v>8564401.2326947041</c:v>
                </c:pt>
                <c:pt idx="2">
                  <c:v>5975619.232694705</c:v>
                </c:pt>
                <c:pt idx="3">
                  <c:v>5975619.232694705</c:v>
                </c:pt>
                <c:pt idx="4">
                  <c:v>5975619.232694705</c:v>
                </c:pt>
                <c:pt idx="5">
                  <c:v>5975619.232694705</c:v>
                </c:pt>
                <c:pt idx="6">
                  <c:v>5975619.232694705</c:v>
                </c:pt>
                <c:pt idx="7">
                  <c:v>5975619.232694705</c:v>
                </c:pt>
                <c:pt idx="8">
                  <c:v>5975619.232694705</c:v>
                </c:pt>
                <c:pt idx="9">
                  <c:v>5975619.232694705</c:v>
                </c:pt>
                <c:pt idx="10">
                  <c:v>5975619.232694705</c:v>
                </c:pt>
                <c:pt idx="11">
                  <c:v>5975619.232694705</c:v>
                </c:pt>
                <c:pt idx="12">
                  <c:v>5975619.232694705</c:v>
                </c:pt>
                <c:pt idx="13">
                  <c:v>5975619.232694705</c:v>
                </c:pt>
                <c:pt idx="14">
                  <c:v>5975619.232694705</c:v>
                </c:pt>
                <c:pt idx="15">
                  <c:v>5975619.232694705</c:v>
                </c:pt>
                <c:pt idx="16">
                  <c:v>5975619.232694705</c:v>
                </c:pt>
              </c:numCache>
            </c:numRef>
          </c:val>
          <c:extLst>
            <c:ext xmlns:c16="http://schemas.microsoft.com/office/drawing/2014/chart" uri="{C3380CC4-5D6E-409C-BE32-E72D297353CC}">
              <c16:uniqueId val="{00000000-A631-446B-AD12-277825D6F703}"/>
            </c:ext>
          </c:extLst>
        </c:ser>
        <c:ser>
          <c:idx val="2"/>
          <c:order val="2"/>
          <c:tx>
            <c:strRef>
              <c:f>'Cash Flow Chart - INR'!$A$5</c:f>
              <c:strCache>
                <c:ptCount val="1"/>
                <c:pt idx="0">
                  <c:v>Actual Work Done (EXCLUDING GST)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'Cash Flow Chart - INR'!$B$2:$R$2</c:f>
              <c:numCache>
                <c:formatCode>mmm\-yy</c:formatCode>
                <c:ptCount val="17"/>
                <c:pt idx="0">
                  <c:v>45931</c:v>
                </c:pt>
                <c:pt idx="1">
                  <c:v>45962</c:v>
                </c:pt>
                <c:pt idx="2">
                  <c:v>45992</c:v>
                </c:pt>
                <c:pt idx="3">
                  <c:v>46023</c:v>
                </c:pt>
                <c:pt idx="4">
                  <c:v>46054</c:v>
                </c:pt>
                <c:pt idx="5">
                  <c:v>46082</c:v>
                </c:pt>
                <c:pt idx="6">
                  <c:v>46113</c:v>
                </c:pt>
                <c:pt idx="7">
                  <c:v>46143</c:v>
                </c:pt>
                <c:pt idx="8">
                  <c:v>46174</c:v>
                </c:pt>
                <c:pt idx="9">
                  <c:v>46204</c:v>
                </c:pt>
                <c:pt idx="10">
                  <c:v>46235</c:v>
                </c:pt>
                <c:pt idx="11">
                  <c:v>46266</c:v>
                </c:pt>
                <c:pt idx="12">
                  <c:v>46296</c:v>
                </c:pt>
                <c:pt idx="13">
                  <c:v>46327</c:v>
                </c:pt>
                <c:pt idx="14">
                  <c:v>46357</c:v>
                </c:pt>
                <c:pt idx="15">
                  <c:v>46388</c:v>
                </c:pt>
                <c:pt idx="16">
                  <c:v>46419</c:v>
                </c:pt>
              </c:numCache>
            </c:numRef>
          </c:cat>
          <c:val>
            <c:numRef>
              <c:f>'Cash Flow Chart - INR'!$B$5:$R$5</c:f>
              <c:numCache>
                <c:formatCode>_ [$₹-4009]\ * #,##0_ ;_ [$₹-4009]\ * \-#,##0_ ;_ [$₹-4009]\ * "-"??_ ;_ @_ </c:formatCode>
                <c:ptCount val="17"/>
                <c:pt idx="0">
                  <c:v>5650000</c:v>
                </c:pt>
                <c:pt idx="1">
                  <c:v>6735532</c:v>
                </c:pt>
                <c:pt idx="2">
                  <c:v>4993250</c:v>
                </c:pt>
                <c:pt idx="3">
                  <c:v>4930000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1-A631-446B-AD12-277825D6F703}"/>
            </c:ext>
          </c:extLst>
        </c:ser>
        <c:dLbls>
          <c:showLegendKey val="0"/>
          <c:showVal val="1"/>
          <c:showCatName val="0"/>
          <c:showSerName val="0"/>
          <c:showPercent val="0"/>
          <c:showBubbleSize val="0"/>
        </c:dLbls>
        <c:gapWidth val="219"/>
        <c:axId val="530564488"/>
        <c:axId val="530564848"/>
      </c:barChart>
      <c:lineChart>
        <c:grouping val="standard"/>
        <c:varyColors val="0"/>
        <c:ser>
          <c:idx val="1"/>
          <c:order val="1"/>
          <c:tx>
            <c:strRef>
              <c:f>'Cash Flow Chart - INR'!$A$4</c:f>
              <c:strCache>
                <c:ptCount val="1"/>
                <c:pt idx="0">
                  <c:v>Planned Budget (EXCLUDING GST) Cumulative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'Cash Flow Chart - INR'!$B$2:$R$2</c:f>
              <c:numCache>
                <c:formatCode>mmm\-yy</c:formatCode>
                <c:ptCount val="17"/>
                <c:pt idx="0">
                  <c:v>45931</c:v>
                </c:pt>
                <c:pt idx="1">
                  <c:v>45962</c:v>
                </c:pt>
                <c:pt idx="2">
                  <c:v>45992</c:v>
                </c:pt>
                <c:pt idx="3">
                  <c:v>46023</c:v>
                </c:pt>
                <c:pt idx="4">
                  <c:v>46054</c:v>
                </c:pt>
                <c:pt idx="5">
                  <c:v>46082</c:v>
                </c:pt>
                <c:pt idx="6">
                  <c:v>46113</c:v>
                </c:pt>
                <c:pt idx="7">
                  <c:v>46143</c:v>
                </c:pt>
                <c:pt idx="8">
                  <c:v>46174</c:v>
                </c:pt>
                <c:pt idx="9">
                  <c:v>46204</c:v>
                </c:pt>
                <c:pt idx="10">
                  <c:v>46235</c:v>
                </c:pt>
                <c:pt idx="11">
                  <c:v>46266</c:v>
                </c:pt>
                <c:pt idx="12">
                  <c:v>46296</c:v>
                </c:pt>
                <c:pt idx="13">
                  <c:v>46327</c:v>
                </c:pt>
                <c:pt idx="14">
                  <c:v>46357</c:v>
                </c:pt>
                <c:pt idx="15">
                  <c:v>46388</c:v>
                </c:pt>
                <c:pt idx="16">
                  <c:v>46419</c:v>
                </c:pt>
              </c:numCache>
            </c:numRef>
          </c:cat>
          <c:val>
            <c:numRef>
              <c:f>'Cash Flow Chart - INR'!$B$4:$R$4</c:f>
              <c:numCache>
                <c:formatCode>_ [$₹-4009]\ * #,##0_ ;_ [$₹-4009]\ * \-#,##0_ ;_ [$₹-4009]\ * "-"??_ ;_ @_ </c:formatCode>
                <c:ptCount val="17"/>
                <c:pt idx="1">
                  <c:v>15050020.465389408</c:v>
                </c:pt>
                <c:pt idx="2">
                  <c:v>21025639.698084112</c:v>
                </c:pt>
                <c:pt idx="3">
                  <c:v>27001258.930778816</c:v>
                </c:pt>
                <c:pt idx="4">
                  <c:v>32976878.16347352</c:v>
                </c:pt>
                <c:pt idx="5">
                  <c:v>38952497.396168225</c:v>
                </c:pt>
                <c:pt idx="6">
                  <c:v>44928116.628862932</c:v>
                </c:pt>
                <c:pt idx="7">
                  <c:v>50903735.86155764</c:v>
                </c:pt>
                <c:pt idx="8">
                  <c:v>56879355.094252348</c:v>
                </c:pt>
                <c:pt idx="9">
                  <c:v>62854974.326947056</c:v>
                </c:pt>
                <c:pt idx="10">
                  <c:v>68830593.559641764</c:v>
                </c:pt>
                <c:pt idx="11">
                  <c:v>74806212.792336464</c:v>
                </c:pt>
                <c:pt idx="12">
                  <c:v>80781832.025031164</c:v>
                </c:pt>
                <c:pt idx="13">
                  <c:v>86757451.257725865</c:v>
                </c:pt>
                <c:pt idx="14">
                  <c:v>92733070.490420565</c:v>
                </c:pt>
                <c:pt idx="15">
                  <c:v>98708689.723115265</c:v>
                </c:pt>
                <c:pt idx="16">
                  <c:v>104684308.95580997</c:v>
                </c:pt>
              </c:numCache>
            </c:numRef>
          </c:val>
          <c:smooth val="1"/>
          <c:extLst>
            <c:ext xmlns:c16="http://schemas.microsoft.com/office/drawing/2014/chart" uri="{C3380CC4-5D6E-409C-BE32-E72D297353CC}">
              <c16:uniqueId val="{00000002-A631-446B-AD12-277825D6F703}"/>
            </c:ext>
          </c:extLst>
        </c:ser>
        <c:ser>
          <c:idx val="3"/>
          <c:order val="3"/>
          <c:tx>
            <c:strRef>
              <c:f>'Cash Flow Chart - INR'!$A$6</c:f>
              <c:strCache>
                <c:ptCount val="1"/>
                <c:pt idx="0">
                  <c:v>Actual Work Done (EXCLUDING GST) Cumulative</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'Cash Flow Chart - INR'!$B$2:$R$2</c:f>
              <c:numCache>
                <c:formatCode>mmm\-yy</c:formatCode>
                <c:ptCount val="17"/>
                <c:pt idx="0">
                  <c:v>45931</c:v>
                </c:pt>
                <c:pt idx="1">
                  <c:v>45962</c:v>
                </c:pt>
                <c:pt idx="2">
                  <c:v>45992</c:v>
                </c:pt>
                <c:pt idx="3">
                  <c:v>46023</c:v>
                </c:pt>
                <c:pt idx="4">
                  <c:v>46054</c:v>
                </c:pt>
                <c:pt idx="5">
                  <c:v>46082</c:v>
                </c:pt>
                <c:pt idx="6">
                  <c:v>46113</c:v>
                </c:pt>
                <c:pt idx="7">
                  <c:v>46143</c:v>
                </c:pt>
                <c:pt idx="8">
                  <c:v>46174</c:v>
                </c:pt>
                <c:pt idx="9">
                  <c:v>46204</c:v>
                </c:pt>
                <c:pt idx="10">
                  <c:v>46235</c:v>
                </c:pt>
                <c:pt idx="11">
                  <c:v>46266</c:v>
                </c:pt>
                <c:pt idx="12">
                  <c:v>46296</c:v>
                </c:pt>
                <c:pt idx="13">
                  <c:v>46327</c:v>
                </c:pt>
                <c:pt idx="14">
                  <c:v>46357</c:v>
                </c:pt>
                <c:pt idx="15">
                  <c:v>46388</c:v>
                </c:pt>
                <c:pt idx="16">
                  <c:v>46419</c:v>
                </c:pt>
              </c:numCache>
            </c:numRef>
          </c:cat>
          <c:val>
            <c:numRef>
              <c:f>'Cash Flow Chart - INR'!$B$6:$R$6</c:f>
              <c:numCache>
                <c:formatCode>_ [$₹-4009]\ * #,##0_ ;_ [$₹-4009]\ * \-#,##0_ ;_ [$₹-4009]\ * "-"??_ ;_ @_ </c:formatCode>
                <c:ptCount val="17"/>
                <c:pt idx="1">
                  <c:v>12385532</c:v>
                </c:pt>
                <c:pt idx="2">
                  <c:v>17378782</c:v>
                </c:pt>
                <c:pt idx="3">
                  <c:v>22308782</c:v>
                </c:pt>
              </c:numCache>
            </c:numRef>
          </c:val>
          <c:smooth val="1"/>
          <c:extLst>
            <c:ext xmlns:c16="http://schemas.microsoft.com/office/drawing/2014/chart" uri="{C3380CC4-5D6E-409C-BE32-E72D297353CC}">
              <c16:uniqueId val="{00000003-A631-446B-AD12-277825D6F703}"/>
            </c:ext>
          </c:extLst>
        </c:ser>
        <c:dLbls>
          <c:showLegendKey val="0"/>
          <c:showVal val="1"/>
          <c:showCatName val="0"/>
          <c:showSerName val="0"/>
          <c:showPercent val="0"/>
          <c:showBubbleSize val="0"/>
        </c:dLbls>
        <c:marker val="1"/>
        <c:smooth val="0"/>
        <c:axId val="687709376"/>
        <c:axId val="687709016"/>
      </c:lineChart>
      <c:dateAx>
        <c:axId val="530564488"/>
        <c:scaling>
          <c:orientation val="minMax"/>
        </c:scaling>
        <c:delete val="0"/>
        <c:axPos val="b"/>
        <c:numFmt formatCode="mmm\-yy"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0564848"/>
        <c:crosses val="autoZero"/>
        <c:auto val="1"/>
        <c:lblOffset val="100"/>
        <c:baseTimeUnit val="months"/>
      </c:dateAx>
      <c:valAx>
        <c:axId val="530564848"/>
        <c:scaling>
          <c:orientation val="minMax"/>
        </c:scaling>
        <c:delete val="0"/>
        <c:axPos val="l"/>
        <c:majorGridlines>
          <c:spPr>
            <a:ln w="9525" cap="flat" cmpd="sng" algn="ctr">
              <a:solidFill>
                <a:schemeClr val="lt1">
                  <a:lumMod val="95000"/>
                  <a:alpha val="10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0564488"/>
        <c:crosses val="autoZero"/>
        <c:crossBetween val="between"/>
      </c:valAx>
      <c:valAx>
        <c:axId val="687709016"/>
        <c:scaling>
          <c:orientation val="minMax"/>
        </c:scaling>
        <c:delete val="0"/>
        <c:axPos val="r"/>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7709376"/>
        <c:crosses val="max"/>
        <c:crossBetween val="between"/>
      </c:valAx>
      <c:dateAx>
        <c:axId val="687709376"/>
        <c:scaling>
          <c:orientation val="minMax"/>
        </c:scaling>
        <c:delete val="1"/>
        <c:axPos val="b"/>
        <c:numFmt formatCode="mmm\-yy" sourceLinked="1"/>
        <c:majorTickMark val="out"/>
        <c:minorTickMark val="none"/>
        <c:tickLblPos val="nextTo"/>
        <c:crossAx val="687709016"/>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22</xdr:col>
      <xdr:colOff>236199</xdr:colOff>
      <xdr:row>48</xdr:row>
      <xdr:rowOff>50800</xdr:rowOff>
    </xdr:from>
    <xdr:to>
      <xdr:col>27</xdr:col>
      <xdr:colOff>595322</xdr:colOff>
      <xdr:row>66</xdr:row>
      <xdr:rowOff>77492</xdr:rowOff>
    </xdr:to>
    <xdr:sp macro="" textlink="">
      <xdr:nvSpPr>
        <xdr:cNvPr id="18" name="Oval 17">
          <a:extLst>
            <a:ext uri="{FF2B5EF4-FFF2-40B4-BE49-F238E27FC236}">
              <a16:creationId xmlns:a16="http://schemas.microsoft.com/office/drawing/2014/main" id="{3CED9FDE-DD0C-4807-84B6-0F5B3C71FCBB}"/>
            </a:ext>
          </a:extLst>
        </xdr:cNvPr>
        <xdr:cNvSpPr/>
      </xdr:nvSpPr>
      <xdr:spPr>
        <a:xfrm>
          <a:off x="25027295" y="9069540"/>
          <a:ext cx="3386246" cy="3408719"/>
        </a:xfrm>
        <a:prstGeom prst="ellipse">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435429</xdr:colOff>
      <xdr:row>31</xdr:row>
      <xdr:rowOff>21772</xdr:rowOff>
    </xdr:from>
    <xdr:to>
      <xdr:col>21</xdr:col>
      <xdr:colOff>421104</xdr:colOff>
      <xdr:row>66</xdr:row>
      <xdr:rowOff>97971</xdr:rowOff>
    </xdr:to>
    <xdr:graphicFrame macro="">
      <xdr:nvGraphicFramePr>
        <xdr:cNvPr id="2" name="Chart 1">
          <a:extLst>
            <a:ext uri="{FF2B5EF4-FFF2-40B4-BE49-F238E27FC236}">
              <a16:creationId xmlns:a16="http://schemas.microsoft.com/office/drawing/2014/main" id="{001F23A4-7D58-4679-8877-10A0D7253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34637</xdr:colOff>
      <xdr:row>6</xdr:row>
      <xdr:rowOff>102973</xdr:rowOff>
    </xdr:from>
    <xdr:to>
      <xdr:col>6</xdr:col>
      <xdr:colOff>158151</xdr:colOff>
      <xdr:row>30</xdr:row>
      <xdr:rowOff>76200</xdr:rowOff>
    </xdr:to>
    <xdr:graphicFrame macro="">
      <xdr:nvGraphicFramePr>
        <xdr:cNvPr id="3" name="Chart 2">
          <a:extLst>
            <a:ext uri="{FF2B5EF4-FFF2-40B4-BE49-F238E27FC236}">
              <a16:creationId xmlns:a16="http://schemas.microsoft.com/office/drawing/2014/main" id="{712B7C4C-5804-4C15-853B-DCA2C25CB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256849</xdr:colOff>
      <xdr:row>6</xdr:row>
      <xdr:rowOff>123568</xdr:rowOff>
    </xdr:from>
    <xdr:to>
      <xdr:col>13</xdr:col>
      <xdr:colOff>20594</xdr:colOff>
      <xdr:row>30</xdr:row>
      <xdr:rowOff>71888</xdr:rowOff>
    </xdr:to>
    <xdr:graphicFrame macro="">
      <xdr:nvGraphicFramePr>
        <xdr:cNvPr id="6" name="Chart 5">
          <a:extLst>
            <a:ext uri="{FF2B5EF4-FFF2-40B4-BE49-F238E27FC236}">
              <a16:creationId xmlns:a16="http://schemas.microsoft.com/office/drawing/2014/main" id="{F175F57D-E897-4D91-A0F6-1BF257ADA9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133950</xdr:colOff>
      <xdr:row>6</xdr:row>
      <xdr:rowOff>124111</xdr:rowOff>
    </xdr:from>
    <xdr:to>
      <xdr:col>27</xdr:col>
      <xdr:colOff>541421</xdr:colOff>
      <xdr:row>30</xdr:row>
      <xdr:rowOff>21772</xdr:rowOff>
    </xdr:to>
    <xdr:graphicFrame macro="">
      <xdr:nvGraphicFramePr>
        <xdr:cNvPr id="8" name="Chart 7">
          <a:extLst>
            <a:ext uri="{FF2B5EF4-FFF2-40B4-BE49-F238E27FC236}">
              <a16:creationId xmlns:a16="http://schemas.microsoft.com/office/drawing/2014/main" id="{715A989E-1052-4944-88D9-AA2D2AF9B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387894</xdr:colOff>
      <xdr:row>0</xdr:row>
      <xdr:rowOff>67244</xdr:rowOff>
    </xdr:from>
    <xdr:to>
      <xdr:col>27</xdr:col>
      <xdr:colOff>444500</xdr:colOff>
      <xdr:row>3</xdr:row>
      <xdr:rowOff>114274</xdr:rowOff>
    </xdr:to>
    <xdr:pic>
      <xdr:nvPicPr>
        <xdr:cNvPr id="10" name="Picture 9">
          <a:extLst>
            <a:ext uri="{FF2B5EF4-FFF2-40B4-BE49-F238E27FC236}">
              <a16:creationId xmlns:a16="http://schemas.microsoft.com/office/drawing/2014/main" id="{911011CD-0D2A-46DB-BD33-9E9B76E07867}"/>
            </a:ext>
          </a:extLst>
        </xdr:cNvPr>
        <xdr:cNvPicPr>
          <a:picLocks noChangeAspect="1"/>
        </xdr:cNvPicPr>
      </xdr:nvPicPr>
      <xdr:blipFill>
        <a:blip xmlns:r="http://schemas.openxmlformats.org/officeDocument/2006/relationships" r:embed="rId5"/>
        <a:stretch>
          <a:fillRect/>
        </a:stretch>
      </xdr:blipFill>
      <xdr:spPr>
        <a:xfrm>
          <a:off x="25645019" y="67244"/>
          <a:ext cx="1866356" cy="618530"/>
        </a:xfrm>
        <a:prstGeom prst="rect">
          <a:avLst/>
        </a:prstGeom>
      </xdr:spPr>
    </xdr:pic>
    <xdr:clientData/>
  </xdr:twoCellAnchor>
  <xdr:twoCellAnchor>
    <xdr:from>
      <xdr:col>22</xdr:col>
      <xdr:colOff>233336</xdr:colOff>
      <xdr:row>31</xdr:row>
      <xdr:rowOff>138546</xdr:rowOff>
    </xdr:from>
    <xdr:to>
      <xdr:col>27</xdr:col>
      <xdr:colOff>593675</xdr:colOff>
      <xdr:row>49</xdr:row>
      <xdr:rowOff>165238</xdr:rowOff>
    </xdr:to>
    <xdr:sp macro="" textlink="">
      <xdr:nvSpPr>
        <xdr:cNvPr id="11" name="Oval 10">
          <a:extLst>
            <a:ext uri="{FF2B5EF4-FFF2-40B4-BE49-F238E27FC236}">
              <a16:creationId xmlns:a16="http://schemas.microsoft.com/office/drawing/2014/main" id="{6ABF3D19-6EE3-76DE-65C2-EFBFC8C8DC10}"/>
            </a:ext>
          </a:extLst>
        </xdr:cNvPr>
        <xdr:cNvSpPr/>
      </xdr:nvSpPr>
      <xdr:spPr>
        <a:xfrm>
          <a:off x="25018389" y="5773335"/>
          <a:ext cx="3368233" cy="3275219"/>
        </a:xfrm>
        <a:prstGeom prst="ellipse">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226314</xdr:colOff>
      <xdr:row>39</xdr:row>
      <xdr:rowOff>119413</xdr:rowOff>
    </xdr:from>
    <xdr:to>
      <xdr:col>27</xdr:col>
      <xdr:colOff>586653</xdr:colOff>
      <xdr:row>57</xdr:row>
      <xdr:rowOff>146105</xdr:rowOff>
    </xdr:to>
    <xdr:sp macro="" textlink="">
      <xdr:nvSpPr>
        <xdr:cNvPr id="17" name="Oval 16">
          <a:extLst>
            <a:ext uri="{FF2B5EF4-FFF2-40B4-BE49-F238E27FC236}">
              <a16:creationId xmlns:a16="http://schemas.microsoft.com/office/drawing/2014/main" id="{CEBD4B5B-5F2F-4FDD-B04C-DFC3922057D2}"/>
            </a:ext>
          </a:extLst>
        </xdr:cNvPr>
        <xdr:cNvSpPr/>
      </xdr:nvSpPr>
      <xdr:spPr>
        <a:xfrm>
          <a:off x="25190885" y="7231413"/>
          <a:ext cx="3444625" cy="3292406"/>
        </a:xfrm>
        <a:prstGeom prst="ellipse">
          <a:avLst/>
        </a:prstGeom>
        <a:solidFill>
          <a:schemeClr val="bg1"/>
        </a:solidFill>
        <a:ln>
          <a:noFill/>
          <a:prstDash val="dash"/>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7967</xdr:colOff>
      <xdr:row>58</xdr:row>
      <xdr:rowOff>180269</xdr:rowOff>
    </xdr:from>
    <xdr:to>
      <xdr:col>27</xdr:col>
      <xdr:colOff>268652</xdr:colOff>
      <xdr:row>65</xdr:row>
      <xdr:rowOff>172451</xdr:rowOff>
    </xdr:to>
    <xdr:sp macro="" textlink="">
      <xdr:nvSpPr>
        <xdr:cNvPr id="22" name="TextBox 21">
          <a:extLst>
            <a:ext uri="{FF2B5EF4-FFF2-40B4-BE49-F238E27FC236}">
              <a16:creationId xmlns:a16="http://schemas.microsoft.com/office/drawing/2014/main" id="{5DF5FE28-5E84-4FFD-A6B9-5FE0FD7B97BF}"/>
            </a:ext>
          </a:extLst>
        </xdr:cNvPr>
        <xdr:cNvSpPr txBox="1"/>
      </xdr:nvSpPr>
      <xdr:spPr>
        <a:xfrm>
          <a:off x="25404488" y="11077913"/>
          <a:ext cx="2682383" cy="1307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Saving</a:t>
          </a:r>
          <a:r>
            <a:rPr lang="en-IN" sz="2000" b="1" baseline="0"/>
            <a:t> in Concrete</a:t>
          </a:r>
        </a:p>
        <a:p>
          <a:pPr algn="ctr"/>
          <a:r>
            <a:rPr lang="en-IN" sz="3200" b="1"/>
            <a:t>1.49</a:t>
          </a:r>
          <a:r>
            <a:rPr lang="en-IN" sz="3200" b="1" baseline="0"/>
            <a:t> Lakh</a:t>
          </a:r>
          <a:endParaRPr lang="en-IN" sz="3200" b="1"/>
        </a:p>
      </xdr:txBody>
    </xdr:sp>
    <xdr:clientData/>
  </xdr:twoCellAnchor>
  <xdr:twoCellAnchor>
    <xdr:from>
      <xdr:col>23</xdr:col>
      <xdr:colOff>12030</xdr:colOff>
      <xdr:row>33</xdr:row>
      <xdr:rowOff>112294</xdr:rowOff>
    </xdr:from>
    <xdr:to>
      <xdr:col>27</xdr:col>
      <xdr:colOff>272715</xdr:colOff>
      <xdr:row>40</xdr:row>
      <xdr:rowOff>104272</xdr:rowOff>
    </xdr:to>
    <xdr:sp macro="" textlink="">
      <xdr:nvSpPr>
        <xdr:cNvPr id="23" name="TextBox 22">
          <a:extLst>
            <a:ext uri="{FF2B5EF4-FFF2-40B4-BE49-F238E27FC236}">
              <a16:creationId xmlns:a16="http://schemas.microsoft.com/office/drawing/2014/main" id="{306AF7B1-09FE-4B8A-A2A6-A0DA43D86F29}"/>
            </a:ext>
          </a:extLst>
        </xdr:cNvPr>
        <xdr:cNvSpPr txBox="1"/>
      </xdr:nvSpPr>
      <xdr:spPr>
        <a:xfrm>
          <a:off x="25398662" y="6108031"/>
          <a:ext cx="2667000" cy="1255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Saving</a:t>
          </a:r>
          <a:r>
            <a:rPr lang="en-IN" sz="2000" b="1" baseline="0"/>
            <a:t> in Steel</a:t>
          </a:r>
        </a:p>
        <a:p>
          <a:pPr algn="ctr"/>
          <a:r>
            <a:rPr lang="en-IN" sz="3200" b="1"/>
            <a:t>15.17</a:t>
          </a:r>
          <a:r>
            <a:rPr lang="en-IN" sz="3200" b="1" baseline="0"/>
            <a:t> Lakh</a:t>
          </a:r>
          <a:endParaRPr lang="en-IN" sz="3200" b="1"/>
        </a:p>
      </xdr:txBody>
    </xdr:sp>
    <xdr:clientData/>
  </xdr:twoCellAnchor>
  <xdr:twoCellAnchor>
    <xdr:from>
      <xdr:col>22</xdr:col>
      <xdr:colOff>420281</xdr:colOff>
      <xdr:row>43</xdr:row>
      <xdr:rowOff>66081</xdr:rowOff>
    </xdr:from>
    <xdr:to>
      <xdr:col>27</xdr:col>
      <xdr:colOff>360124</xdr:colOff>
      <xdr:row>55</xdr:row>
      <xdr:rowOff>145143</xdr:rowOff>
    </xdr:to>
    <xdr:sp macro="" textlink="">
      <xdr:nvSpPr>
        <xdr:cNvPr id="24" name="TextBox 23">
          <a:extLst>
            <a:ext uri="{FF2B5EF4-FFF2-40B4-BE49-F238E27FC236}">
              <a16:creationId xmlns:a16="http://schemas.microsoft.com/office/drawing/2014/main" id="{747D693A-8CD4-43EE-BF8F-675ABFC5C438}"/>
            </a:ext>
          </a:extLst>
        </xdr:cNvPr>
        <xdr:cNvSpPr txBox="1"/>
      </xdr:nvSpPr>
      <xdr:spPr>
        <a:xfrm>
          <a:off x="25384852" y="7903795"/>
          <a:ext cx="3024129" cy="2256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t>Project Health </a:t>
          </a:r>
          <a:endParaRPr lang="en-IN" sz="800" b="1">
            <a:solidFill>
              <a:schemeClr val="accent1"/>
            </a:solidFill>
          </a:endParaRPr>
        </a:p>
        <a:p>
          <a:pPr algn="ctr"/>
          <a:r>
            <a:rPr lang="en-IN" sz="8000" b="1">
              <a:solidFill>
                <a:schemeClr val="accent1"/>
              </a:solidFill>
            </a:rPr>
            <a:t>1.12</a:t>
          </a:r>
        </a:p>
      </xdr:txBody>
    </xdr:sp>
    <xdr:clientData/>
  </xdr:twoCellAnchor>
  <xdr:twoCellAnchor editAs="oneCell">
    <xdr:from>
      <xdr:col>0</xdr:col>
      <xdr:colOff>63590</xdr:colOff>
      <xdr:row>0</xdr:row>
      <xdr:rowOff>67244</xdr:rowOff>
    </xdr:from>
    <xdr:to>
      <xdr:col>0</xdr:col>
      <xdr:colOff>1948996</xdr:colOff>
      <xdr:row>3</xdr:row>
      <xdr:rowOff>114274</xdr:rowOff>
    </xdr:to>
    <xdr:pic>
      <xdr:nvPicPr>
        <xdr:cNvPr id="25" name="Picture 24">
          <a:extLst>
            <a:ext uri="{FF2B5EF4-FFF2-40B4-BE49-F238E27FC236}">
              <a16:creationId xmlns:a16="http://schemas.microsoft.com/office/drawing/2014/main" id="{A42BB00A-B7BD-4FF6-8F9E-C96B9B2C3C90}"/>
            </a:ext>
          </a:extLst>
        </xdr:cNvPr>
        <xdr:cNvPicPr>
          <a:picLocks noChangeAspect="1"/>
        </xdr:cNvPicPr>
      </xdr:nvPicPr>
      <xdr:blipFill>
        <a:blip xmlns:r="http://schemas.openxmlformats.org/officeDocument/2006/relationships" r:embed="rId5"/>
        <a:stretch>
          <a:fillRect/>
        </a:stretch>
      </xdr:blipFill>
      <xdr:spPr>
        <a:xfrm>
          <a:off x="63590" y="67244"/>
          <a:ext cx="1885406" cy="591316"/>
        </a:xfrm>
        <a:prstGeom prst="rect">
          <a:avLst/>
        </a:prstGeom>
      </xdr:spPr>
    </xdr:pic>
    <xdr:clientData/>
  </xdr:twoCellAnchor>
  <xdr:twoCellAnchor>
    <xdr:from>
      <xdr:col>0</xdr:col>
      <xdr:colOff>0</xdr:colOff>
      <xdr:row>30</xdr:row>
      <xdr:rowOff>185530</xdr:rowOff>
    </xdr:from>
    <xdr:to>
      <xdr:col>4</xdr:col>
      <xdr:colOff>275617</xdr:colOff>
      <xdr:row>66</xdr:row>
      <xdr:rowOff>86139</xdr:rowOff>
    </xdr:to>
    <xdr:graphicFrame macro="">
      <xdr:nvGraphicFramePr>
        <xdr:cNvPr id="5" name="Chart 4">
          <a:extLst>
            <a:ext uri="{FF2B5EF4-FFF2-40B4-BE49-F238E27FC236}">
              <a16:creationId xmlns:a16="http://schemas.microsoft.com/office/drawing/2014/main" id="{14FAFEDE-FFBA-4D8E-994C-266975B71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0.03545</cdr:x>
      <cdr:y>0.79241</cdr:y>
    </cdr:from>
    <cdr:to>
      <cdr:x>1</cdr:x>
      <cdr:y>0.79655</cdr:y>
    </cdr:to>
    <cdr:cxnSp macro="">
      <cdr:nvCxnSpPr>
        <cdr:cNvPr id="3" name="Straight Connector 2">
          <a:extLst xmlns:a="http://schemas.openxmlformats.org/drawingml/2006/main">
            <a:ext uri="{FF2B5EF4-FFF2-40B4-BE49-F238E27FC236}">
              <a16:creationId xmlns:a16="http://schemas.microsoft.com/office/drawing/2014/main" id="{B7CCD9BB-9D8F-0143-237C-E5AC6DBBB2A0}"/>
            </a:ext>
          </a:extLst>
        </cdr:cNvPr>
        <cdr:cNvCxnSpPr/>
      </cdr:nvCxnSpPr>
      <cdr:spPr>
        <a:xfrm xmlns:a="http://schemas.openxmlformats.org/drawingml/2006/main" flipV="1">
          <a:off x="364506" y="3476582"/>
          <a:ext cx="9919008" cy="18144"/>
        </a:xfrm>
        <a:prstGeom xmlns:a="http://schemas.openxmlformats.org/drawingml/2006/main" prst="line">
          <a:avLst/>
        </a:prstGeom>
        <a:ln xmlns:a="http://schemas.openxmlformats.org/drawingml/2006/main" w="57150">
          <a:solidFill>
            <a:srgbClr val="C00000"/>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0.71116</cdr:x>
      <cdr:y>0.67249</cdr:y>
    </cdr:from>
    <cdr:to>
      <cdr:x>0.99697</cdr:x>
      <cdr:y>0.76346</cdr:y>
    </cdr:to>
    <cdr:sp macro="" textlink="">
      <cdr:nvSpPr>
        <cdr:cNvPr id="5" name="TextBox 4">
          <a:extLst xmlns:a="http://schemas.openxmlformats.org/drawingml/2006/main">
            <a:ext uri="{FF2B5EF4-FFF2-40B4-BE49-F238E27FC236}">
              <a16:creationId xmlns:a16="http://schemas.microsoft.com/office/drawing/2014/main" id="{C914D3E3-4146-9A36-27D4-B3C7D9137DE4}"/>
            </a:ext>
          </a:extLst>
        </cdr:cNvPr>
        <cdr:cNvSpPr txBox="1"/>
      </cdr:nvSpPr>
      <cdr:spPr>
        <a:xfrm xmlns:a="http://schemas.openxmlformats.org/drawingml/2006/main">
          <a:off x="7313220" y="2950440"/>
          <a:ext cx="2939143" cy="39914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0.74771</cdr:x>
      <cdr:y>0.66422</cdr:y>
    </cdr:from>
    <cdr:to>
      <cdr:x>1</cdr:x>
      <cdr:y>0.78</cdr:y>
    </cdr:to>
    <cdr:sp macro="" textlink="">
      <cdr:nvSpPr>
        <cdr:cNvPr id="6" name="TextBox 5">
          <a:extLst xmlns:a="http://schemas.openxmlformats.org/drawingml/2006/main">
            <a:ext uri="{FF2B5EF4-FFF2-40B4-BE49-F238E27FC236}">
              <a16:creationId xmlns:a16="http://schemas.microsoft.com/office/drawing/2014/main" id="{6BA94D54-DCA2-801B-177A-FB75F2618B60}"/>
            </a:ext>
          </a:extLst>
        </cdr:cNvPr>
        <cdr:cNvSpPr txBox="1"/>
      </cdr:nvSpPr>
      <cdr:spPr>
        <a:xfrm xmlns:a="http://schemas.openxmlformats.org/drawingml/2006/main">
          <a:off x="7689085" y="2914155"/>
          <a:ext cx="2594429" cy="508000"/>
        </a:xfrm>
        <a:prstGeom xmlns:a="http://schemas.openxmlformats.org/drawingml/2006/main" prst="rect">
          <a:avLst/>
        </a:prstGeom>
        <a:solidFill xmlns:a="http://schemas.openxmlformats.org/drawingml/2006/main">
          <a:srgbClr val="002060"/>
        </a:solidFill>
      </cdr:spPr>
      <cdr:txBody>
        <a:bodyPr xmlns:a="http://schemas.openxmlformats.org/drawingml/2006/main" vertOverflow="clip" wrap="square" rtlCol="0" anchor="ctr"/>
        <a:lstStyle xmlns:a="http://schemas.openxmlformats.org/drawingml/2006/main"/>
        <a:p xmlns:a="http://schemas.openxmlformats.org/drawingml/2006/main">
          <a:pPr algn="ctr"/>
          <a:r>
            <a:rPr lang="en-IN" sz="2400" b="1" kern="1200">
              <a:solidFill>
                <a:schemeClr val="bg1"/>
              </a:solidFill>
            </a:rPr>
            <a:t>Under Budget</a:t>
          </a:r>
        </a:p>
      </cdr:txBody>
    </cdr:sp>
  </cdr:relSizeAnchor>
  <cdr:relSizeAnchor xmlns:cdr="http://schemas.openxmlformats.org/drawingml/2006/chartDrawing">
    <cdr:from>
      <cdr:x>0.74771</cdr:x>
      <cdr:y>0.81382</cdr:y>
    </cdr:from>
    <cdr:to>
      <cdr:x>1</cdr:x>
      <cdr:y>0.92961</cdr:y>
    </cdr:to>
    <cdr:sp macro="" textlink="">
      <cdr:nvSpPr>
        <cdr:cNvPr id="8" name="TextBox 1">
          <a:extLst xmlns:a="http://schemas.openxmlformats.org/drawingml/2006/main">
            <a:ext uri="{FF2B5EF4-FFF2-40B4-BE49-F238E27FC236}">
              <a16:creationId xmlns:a16="http://schemas.microsoft.com/office/drawing/2014/main" id="{B966A18D-9BA7-0A6A-DB3C-70ECFB761DEB}"/>
            </a:ext>
          </a:extLst>
        </cdr:cNvPr>
        <cdr:cNvSpPr txBox="1"/>
      </cdr:nvSpPr>
      <cdr:spPr>
        <a:xfrm xmlns:a="http://schemas.openxmlformats.org/drawingml/2006/main">
          <a:off x="7689085" y="3570514"/>
          <a:ext cx="2594429" cy="508000"/>
        </a:xfrm>
        <a:prstGeom xmlns:a="http://schemas.openxmlformats.org/drawingml/2006/main" prst="rect">
          <a:avLst/>
        </a:prstGeom>
        <a:solidFill xmlns:a="http://schemas.openxmlformats.org/drawingml/2006/main">
          <a:srgbClr val="002060"/>
        </a:solidFill>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IN" sz="2400" b="1" kern="1200">
              <a:solidFill>
                <a:schemeClr val="bg1"/>
              </a:solidFill>
            </a:rPr>
            <a:t>Over Budget</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46</xdr:row>
      <xdr:rowOff>99130</xdr:rowOff>
    </xdr:from>
    <xdr:to>
      <xdr:col>14</xdr:col>
      <xdr:colOff>87923</xdr:colOff>
      <xdr:row>142</xdr:row>
      <xdr:rowOff>43961</xdr:rowOff>
    </xdr:to>
    <xdr:graphicFrame macro="">
      <xdr:nvGraphicFramePr>
        <xdr:cNvPr id="2" name="Chart 1">
          <a:extLst>
            <a:ext uri="{FF2B5EF4-FFF2-40B4-BE49-F238E27FC236}">
              <a16:creationId xmlns:a16="http://schemas.microsoft.com/office/drawing/2014/main" id="{BFCD6EEE-32C2-4DE4-83A9-9FEDB29DFD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8</xdr:row>
      <xdr:rowOff>44450</xdr:rowOff>
    </xdr:from>
    <xdr:to>
      <xdr:col>12</xdr:col>
      <xdr:colOff>841376</xdr:colOff>
      <xdr:row>50</xdr:row>
      <xdr:rowOff>82550</xdr:rowOff>
    </xdr:to>
    <xdr:graphicFrame macro="">
      <xdr:nvGraphicFramePr>
        <xdr:cNvPr id="2" name="Chart 1">
          <a:extLst>
            <a:ext uri="{FF2B5EF4-FFF2-40B4-BE49-F238E27FC236}">
              <a16:creationId xmlns:a16="http://schemas.microsoft.com/office/drawing/2014/main" id="{8B96C7E4-5FF5-4DE6-A07E-FDAD5624E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594098</xdr:colOff>
      <xdr:row>50</xdr:row>
      <xdr:rowOff>135031</xdr:rowOff>
    </xdr:from>
    <xdr:to>
      <xdr:col>13</xdr:col>
      <xdr:colOff>238124</xdr:colOff>
      <xdr:row>92</xdr:row>
      <xdr:rowOff>142875</xdr:rowOff>
    </xdr:to>
    <xdr:graphicFrame macro="">
      <xdr:nvGraphicFramePr>
        <xdr:cNvPr id="3" name="Chart 2">
          <a:extLst>
            <a:ext uri="{FF2B5EF4-FFF2-40B4-BE49-F238E27FC236}">
              <a16:creationId xmlns:a16="http://schemas.microsoft.com/office/drawing/2014/main" id="{B4E636D5-D996-4987-95BC-D6E8259A5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731520</xdr:colOff>
      <xdr:row>0</xdr:row>
      <xdr:rowOff>0</xdr:rowOff>
    </xdr:from>
    <xdr:to>
      <xdr:col>14</xdr:col>
      <xdr:colOff>998220</xdr:colOff>
      <xdr:row>4</xdr:row>
      <xdr:rowOff>76200</xdr:rowOff>
    </xdr:to>
    <xdr:pic>
      <xdr:nvPicPr>
        <xdr:cNvPr id="2" name="Picture 2">
          <a:extLst>
            <a:ext uri="{FF2B5EF4-FFF2-40B4-BE49-F238E27FC236}">
              <a16:creationId xmlns:a16="http://schemas.microsoft.com/office/drawing/2014/main" id="{6FA6B74E-98D2-4F3F-B824-EE94DBC208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396460" y="0"/>
          <a:ext cx="1874520" cy="777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jp-main\e\DCPL%20WORk\RIL%20GAS\Project\RA%20Bill\Claim\4%20th%20%20R.A%20%20Submited%20on%2002-05-2005.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Sharnam%20II\Superseeded\SPDC_Budget_Arvind%20(1).xls" TargetMode="External"/><Relationship Id="rId1" Type="http://schemas.openxmlformats.org/officeDocument/2006/relationships/externalLinkPath" Target="/Sharnam%20II/Superseeded/SPDC_Budget_Arvind%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ABS "/>
      <sheetName val="Service Tax Annexure"/>
      <sheetName val="RA Bill "/>
      <sheetName val="PRESSES"/>
      <sheetName val="FURNACE FDN-"/>
      <sheetName val="FURNACE FDN REV"/>
      <sheetName val="AXIS 9 - 18-"/>
      <sheetName val="AXIS 9 - 18 REV"/>
      <sheetName val="AXIS 4 - 9"/>
      <sheetName val="AXIS 1-4"/>
      <sheetName val="BATCH HOUSE"/>
      <sheetName val="CHIMNEY"/>
      <sheetName val="HEAD HOUSE"/>
      <sheetName val="EQ-FD"/>
      <sheetName val="RMSS"/>
      <sheetName val="FORMING FLOOR"/>
      <sheetName val="BLANK1"/>
      <sheetName val="PRESSES MS"/>
      <sheetName val="FURNACE FDN MS"/>
      <sheetName val="AXIS 9-18  MS"/>
      <sheetName val="STRUCTURE STEEL RECO"/>
      <sheetName val="Aligment STATUS "/>
      <sheetName val="Erection STATUS"/>
      <sheetName val="AXIS 9-18-STR-MS "/>
      <sheetName val="AXIS 1-9 MS "/>
      <sheetName val="AXIS 1-9 -STR-MS"/>
      <sheetName val="AXIS 1-4 MS"/>
      <sheetName val="HEAD HOUSE MS"/>
      <sheetName val="CHIMNEY MS"/>
      <sheetName val="BATCH HOUSE MS"/>
      <sheetName val="EQ-FD MS"/>
      <sheetName val="RMSS MS "/>
      <sheetName val="FORMING FLOOR MS"/>
      <sheetName val="BBS"/>
      <sheetName val="Rein - Cons"/>
      <sheetName val="BLANK"/>
      <sheetName val="AXIS 18-9 MS (20)"/>
      <sheetName val="AXIS 18-9 MS (19)"/>
      <sheetName val="AXIS 18-9 MS (18)"/>
      <sheetName val="AXIS 18-9 MS (17)"/>
      <sheetName val="AXIS 18-9 MS (16)"/>
      <sheetName val="AXIS 18-9 MS (15)"/>
      <sheetName val="AXIS 18-9 MS (14)"/>
      <sheetName val="AXIS 18-9 MS (13)"/>
      <sheetName val="AXIS 18-9 MS (12)"/>
      <sheetName val="AXIS 18-9 MS (11)"/>
      <sheetName val="AXIS 18-9 (20)"/>
      <sheetName val="AXIS 18-9 (19)"/>
      <sheetName val="AXIS 18-9 (18)"/>
      <sheetName val="AXIS 18-9 (17)"/>
      <sheetName val="AXIS 18-9 (16)"/>
      <sheetName val="AXIS 18-9 (15)"/>
      <sheetName val="AXIS 18-9 (14)"/>
      <sheetName val="AXIS 18-9 (13)"/>
      <sheetName val="AXIS 18-9 (12)"/>
      <sheetName val="AXIS 18-9 (11)"/>
      <sheetName val="RA 1 Measurement"/>
      <sheetName val="RA 1 Abstract"/>
      <sheetName val="Civil Boq"/>
      <sheetName val="BOQ"/>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306">
          <cell r="B306" t="str">
            <v>230mm thk Brick masonary</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udget"/>
      <sheetName val="Monitoring"/>
      <sheetName val="STEEL RATE DIFFRENCE"/>
      <sheetName val="CEMENT RATE DIFFRENCE"/>
      <sheetName val="DORMITORY MB"/>
      <sheetName val="DORMITORY BBS"/>
      <sheetName val="Electric MB"/>
      <sheetName val="Plumbing MB"/>
    </sheetNames>
    <sheetDataSet>
      <sheetData sheetId="0"/>
      <sheetData sheetId="1">
        <row r="72">
          <cell r="M72">
            <v>1592674.46</v>
          </cell>
          <cell r="P72">
            <v>5521220.1684367228</v>
          </cell>
          <cell r="Q72">
            <v>13474470.906215001</v>
          </cell>
        </row>
      </sheetData>
      <sheetData sheetId="2">
        <row r="39">
          <cell r="K39">
            <v>0</v>
          </cell>
          <cell r="L39">
            <v>1516623.2295999995</v>
          </cell>
        </row>
      </sheetData>
      <sheetData sheetId="3">
        <row r="10">
          <cell r="J10">
            <v>0</v>
          </cell>
          <cell r="K10">
            <v>148883.4</v>
          </cell>
        </row>
      </sheetData>
      <sheetData sheetId="4">
        <row r="38">
          <cell r="H38">
            <v>924.8445099999999</v>
          </cell>
        </row>
        <row r="51">
          <cell r="H51">
            <v>913.05</v>
          </cell>
        </row>
        <row r="75">
          <cell r="H75">
            <v>1123.2190140000093</v>
          </cell>
        </row>
        <row r="108">
          <cell r="H108">
            <v>173.80939000000004</v>
          </cell>
        </row>
        <row r="194">
          <cell r="H194">
            <v>223.55048499999995</v>
          </cell>
        </row>
        <row r="328">
          <cell r="H328">
            <v>519.00076874999979</v>
          </cell>
        </row>
        <row r="403">
          <cell r="H403">
            <v>208.27710300000001</v>
          </cell>
        </row>
        <row r="478">
          <cell r="H478">
            <v>208.27710300000001</v>
          </cell>
        </row>
        <row r="553">
          <cell r="H553">
            <v>208.27710300000001</v>
          </cell>
        </row>
        <row r="628">
          <cell r="H628">
            <v>208.27710300000001</v>
          </cell>
        </row>
        <row r="703">
          <cell r="H703">
            <v>208.27710300000001</v>
          </cell>
        </row>
        <row r="827">
          <cell r="H827">
            <v>1651.253750000001</v>
          </cell>
        </row>
        <row r="985">
          <cell r="H985">
            <v>1933.9838000000002</v>
          </cell>
        </row>
        <row r="1141">
          <cell r="H1141">
            <v>1933.9838000000002</v>
          </cell>
        </row>
        <row r="1297">
          <cell r="H1297">
            <v>1933.9838000000002</v>
          </cell>
        </row>
        <row r="1453">
          <cell r="H1453">
            <v>1933.9838000000002</v>
          </cell>
        </row>
        <row r="1609">
          <cell r="H1609">
            <v>1933.9838000000002</v>
          </cell>
        </row>
        <row r="1675">
          <cell r="H1675">
            <v>102.46165699999999</v>
          </cell>
        </row>
        <row r="1696">
          <cell r="H1696">
            <v>73.479825000000005</v>
          </cell>
        </row>
        <row r="1715">
          <cell r="H1715">
            <v>73.479825000000005</v>
          </cell>
        </row>
        <row r="1733">
          <cell r="H1733">
            <v>73.479825000000005</v>
          </cell>
        </row>
        <row r="1751">
          <cell r="H1751">
            <v>73.479825000000019</v>
          </cell>
        </row>
        <row r="1775">
          <cell r="H1775">
            <v>92.81914500000002</v>
          </cell>
        </row>
        <row r="1796">
          <cell r="H1796">
            <v>767.85389999999995</v>
          </cell>
        </row>
        <row r="1817">
          <cell r="H1817">
            <v>767.85389999999995</v>
          </cell>
        </row>
        <row r="1838">
          <cell r="H1838">
            <v>767.85389999999995</v>
          </cell>
        </row>
        <row r="1859">
          <cell r="H1859">
            <v>767.85389999999995</v>
          </cell>
        </row>
        <row r="1880">
          <cell r="H1880">
            <v>767.85389999999995</v>
          </cell>
        </row>
        <row r="1900">
          <cell r="H1900">
            <v>328.66999999999996</v>
          </cell>
        </row>
        <row r="1931">
          <cell r="H1931">
            <v>1733.7924999999998</v>
          </cell>
        </row>
        <row r="1962">
          <cell r="H1962">
            <v>1733.7924999999998</v>
          </cell>
        </row>
        <row r="1993">
          <cell r="H1993">
            <v>1733.7924999999998</v>
          </cell>
        </row>
        <row r="2024">
          <cell r="H2024">
            <v>1733.7924999999998</v>
          </cell>
        </row>
        <row r="2055">
          <cell r="H2055">
            <v>1733.7924999999998</v>
          </cell>
        </row>
        <row r="2072">
          <cell r="H2072">
            <v>326.81599999999997</v>
          </cell>
        </row>
        <row r="2102">
          <cell r="H2102">
            <v>3780.0349999999999</v>
          </cell>
        </row>
        <row r="2116">
          <cell r="H2116">
            <v>559.20000000000005</v>
          </cell>
        </row>
        <row r="2145">
          <cell r="H2145">
            <v>3780.0349999999999</v>
          </cell>
        </row>
        <row r="2191">
          <cell r="H2191">
            <v>15553.437999999996</v>
          </cell>
        </row>
        <row r="2208">
          <cell r="H2208">
            <v>655.37049999999999</v>
          </cell>
        </row>
        <row r="2225">
          <cell r="H2225">
            <v>655.37049999999999</v>
          </cell>
        </row>
        <row r="2243">
          <cell r="H2243">
            <v>655.37049999999999</v>
          </cell>
        </row>
        <row r="2260">
          <cell r="H2260">
            <v>655.37049999999999</v>
          </cell>
        </row>
        <row r="2277">
          <cell r="H2277">
            <v>655.37049999999999</v>
          </cell>
        </row>
        <row r="2287">
          <cell r="H2287">
            <v>10.1625</v>
          </cell>
        </row>
        <row r="2312">
          <cell r="H2312">
            <v>613.46</v>
          </cell>
        </row>
        <row r="2337">
          <cell r="H2337">
            <v>613.46</v>
          </cell>
        </row>
        <row r="2362">
          <cell r="H2362">
            <v>613.46</v>
          </cell>
        </row>
        <row r="2387">
          <cell r="H2387">
            <v>613.46</v>
          </cell>
        </row>
        <row r="2412">
          <cell r="H2412">
            <v>613.46</v>
          </cell>
        </row>
        <row r="2425">
          <cell r="H2425">
            <v>213.83199999999999</v>
          </cell>
        </row>
        <row r="2439">
          <cell r="H2439">
            <v>1489.2000000000003</v>
          </cell>
        </row>
        <row r="2458">
          <cell r="H2458">
            <v>378.45499999999998</v>
          </cell>
        </row>
        <row r="2471">
          <cell r="H2471">
            <v>812.3685999999999</v>
          </cell>
        </row>
        <row r="2482">
          <cell r="H2482">
            <v>224.28000000000003</v>
          </cell>
        </row>
        <row r="2491">
          <cell r="H2491">
            <v>41.58</v>
          </cell>
        </row>
        <row r="2500">
          <cell r="H2500">
            <v>90</v>
          </cell>
        </row>
        <row r="2518">
          <cell r="H2518">
            <v>81.173999999999992</v>
          </cell>
        </row>
        <row r="2536">
          <cell r="H2536">
            <v>748.05100000000004</v>
          </cell>
        </row>
      </sheetData>
      <sheetData sheetId="5">
        <row r="1965">
          <cell r="U1965">
            <v>177.44494847107413</v>
          </cell>
        </row>
      </sheetData>
      <sheetData sheetId="6"/>
      <sheetData sheetId="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yam Shah" refreshedDate="46033.668694560183" createdVersion="8" refreshedVersion="8" minRefreshableVersion="3" recordCount="36" xr:uid="{7F1DCF65-8C8B-455A-9239-3A2EE3D6ED12}">
  <cacheSource type="worksheet">
    <worksheetSource ref="E2:L38" sheet="STEEL RATE DIFFRENCE"/>
  </cacheSource>
  <cacheFields count="8">
    <cacheField name="Dia Of Bar" numFmtId="0">
      <sharedItems containsSemiMixedTypes="0" containsString="0" containsNumber="1" containsInteger="1" minValue="8" maxValue="20" count="5">
        <n v="8"/>
        <n v="10"/>
        <n v="12"/>
        <n v="16"/>
        <n v="20"/>
      </sharedItems>
    </cacheField>
    <cacheField name="Qty." numFmtId="0">
      <sharedItems containsSemiMixedTypes="0" containsString="0" containsNumber="1" minValue="0.22" maxValue="16.16"/>
    </cacheField>
    <cacheField name="Basic Rate" numFmtId="171">
      <sharedItems containsSemiMixedTypes="0" containsString="0" containsNumber="1" containsInteger="1" minValue="53000" maxValue="53000"/>
    </cacheField>
    <cacheField name="Purchase Rate" numFmtId="171">
      <sharedItems containsSemiMixedTypes="0" containsString="0" containsNumber="1" minValue="41700" maxValue="47203"/>
    </cacheField>
    <cacheField name="Basic Rate Amount" numFmtId="171">
      <sharedItems containsSemiMixedTypes="0" containsString="0" containsNumber="1" minValue="11660" maxValue="856480"/>
    </cacheField>
    <cacheField name="Purchase Rate Amount" numFmtId="171">
      <sharedItems containsSemiMixedTypes="0" containsString="0" containsNumber="1" minValue="9732.14" maxValue="724452.8"/>
    </cacheField>
    <cacheField name="Excess Amount  " numFmtId="171">
      <sharedItems containsSemiMixedTypes="0" containsString="0" containsNumber="1" containsInteger="1" minValue="0" maxValue="0"/>
    </cacheField>
    <cacheField name="Saving Amount  " numFmtId="171">
      <sharedItems containsSemiMixedTypes="0" containsString="0" containsNumber="1" minValue="1927.86" maxValue="132027.2000000000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yam Shah" refreshedDate="46033.675368518518" createdVersion="8" refreshedVersion="8" minRefreshableVersion="3" recordCount="7" xr:uid="{12ACB212-1907-4B14-B6D0-DF8AB2651416}">
  <cacheSource type="worksheet">
    <worksheetSource ref="D2:K9" sheet="CEMENT RATE DIFFRENCE"/>
  </cacheSource>
  <cacheFields count="8">
    <cacheField name="Purchase No" numFmtId="0">
      <sharedItems count="4">
        <s v="1st Purchase"/>
        <s v="2nd Purchase"/>
        <s v="3rd Purchase"/>
        <s v="4th Purchase"/>
      </sharedItems>
    </cacheField>
    <cacheField name="Qty." numFmtId="43">
      <sharedItems containsSemiMixedTypes="0" containsString="0" containsNumber="1" containsInteger="1" minValue="600" maxValue="700"/>
    </cacheField>
    <cacheField name="Basic Rate" numFmtId="43">
      <sharedItems containsSemiMixedTypes="0" containsString="0" containsNumber="1" containsInteger="1" minValue="280" maxValue="280"/>
    </cacheField>
    <cacheField name="Purchase Rate" numFmtId="43">
      <sharedItems containsSemiMixedTypes="0" containsString="0" containsNumber="1" minValue="228.8135" maxValue="269.53149999999999"/>
    </cacheField>
    <cacheField name="Basic Rate Amount" numFmtId="43">
      <sharedItems containsSemiMixedTypes="0" containsString="0" containsNumber="1" containsInteger="1" minValue="168000" maxValue="196000"/>
    </cacheField>
    <cacheField name="Purchase Rate Amount" numFmtId="43">
      <sharedItems containsSemiMixedTypes="0" containsString="0" containsNumber="1" minValue="137288.1" maxValue="177734.55"/>
    </cacheField>
    <cacheField name="Excess Amount " numFmtId="43">
      <sharedItems containsSemiMixedTypes="0" containsString="0" containsNumber="1" containsInteger="1" minValue="0" maxValue="0"/>
    </cacheField>
    <cacheField name="Saving Amount  " numFmtId="43">
      <sharedItems containsSemiMixedTypes="0" containsString="0" containsNumber="1" minValue="6281.100000000004" maxValue="30711.8999999999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n v="4.0199999999999996"/>
    <n v="53000"/>
    <n v="46593.22"/>
    <n v="213059.99999999997"/>
    <n v="187304.7444"/>
    <n v="0"/>
    <n v="25755.255599999993"/>
  </r>
  <r>
    <x v="1"/>
    <n v="4.0199999999999996"/>
    <n v="53000"/>
    <n v="45067.8"/>
    <n v="213059.99999999997"/>
    <n v="181172.55599999998"/>
    <n v="0"/>
    <n v="31887.443999999985"/>
  </r>
  <r>
    <x v="2"/>
    <n v="3.02"/>
    <n v="53000"/>
    <n v="44050.85"/>
    <n v="160060"/>
    <n v="133033.56700000001"/>
    <n v="0"/>
    <n v="27026.433000000005"/>
  </r>
  <r>
    <x v="3"/>
    <n v="1.93"/>
    <n v="53000"/>
    <n v="44050.85"/>
    <n v="102290"/>
    <n v="85018.140499999994"/>
    <n v="0"/>
    <n v="17271.859500000002"/>
  </r>
  <r>
    <x v="4"/>
    <n v="11.05"/>
    <n v="53000"/>
    <n v="44050.85"/>
    <n v="585650"/>
    <n v="486761.89250000002"/>
    <n v="0"/>
    <n v="98888.107500000027"/>
  </r>
  <r>
    <x v="0"/>
    <n v="1.01"/>
    <n v="53000"/>
    <n v="47203"/>
    <n v="53530"/>
    <n v="47675.03"/>
    <n v="0"/>
    <n v="5854.97"/>
  </r>
  <r>
    <x v="1"/>
    <n v="1.9"/>
    <n v="53000"/>
    <n v="45678"/>
    <n v="100700"/>
    <n v="86788.2"/>
    <n v="0"/>
    <n v="13911.8"/>
  </r>
  <r>
    <x v="2"/>
    <n v="1.97"/>
    <n v="53000"/>
    <n v="44661"/>
    <n v="104410"/>
    <n v="87982.17"/>
    <n v="0"/>
    <n v="16427.829999999998"/>
  </r>
  <r>
    <x v="3"/>
    <n v="5.0199999999999996"/>
    <n v="53000"/>
    <n v="44661"/>
    <n v="266060"/>
    <n v="224198.21999999997"/>
    <n v="0"/>
    <n v="41861.78"/>
  </r>
  <r>
    <x v="0"/>
    <n v="3.63"/>
    <n v="53000"/>
    <n v="46560"/>
    <n v="192390"/>
    <n v="169012.8"/>
    <n v="0"/>
    <n v="23377.200000000001"/>
  </r>
  <r>
    <x v="1"/>
    <n v="1.07"/>
    <n v="53000"/>
    <n v="45030"/>
    <n v="56710"/>
    <n v="48182.100000000006"/>
    <n v="0"/>
    <n v="8527.9"/>
  </r>
  <r>
    <x v="2"/>
    <n v="4.51"/>
    <n v="53000"/>
    <n v="44020"/>
    <n v="239030"/>
    <n v="198530.19999999998"/>
    <n v="0"/>
    <n v="40499.799999999996"/>
  </r>
  <r>
    <x v="3"/>
    <n v="3.44"/>
    <n v="53000"/>
    <n v="44020"/>
    <n v="182320"/>
    <n v="151428.79999999999"/>
    <n v="0"/>
    <n v="30891.200000000001"/>
  </r>
  <r>
    <x v="0"/>
    <n v="2.5"/>
    <n v="53000"/>
    <n v="46272"/>
    <n v="132500"/>
    <n v="115680"/>
    <n v="0"/>
    <n v="16820"/>
  </r>
  <r>
    <x v="1"/>
    <n v="0.52"/>
    <n v="53000"/>
    <n v="44916"/>
    <n v="27560"/>
    <n v="23356.32"/>
    <n v="0"/>
    <n v="4203.68"/>
  </r>
  <r>
    <x v="3"/>
    <n v="5.21"/>
    <n v="53000"/>
    <n v="44068"/>
    <n v="276130"/>
    <n v="229594.28"/>
    <n v="0"/>
    <n v="46535.72"/>
  </r>
  <r>
    <x v="4"/>
    <n v="4.93"/>
    <n v="53000"/>
    <n v="44068"/>
    <n v="261289.99999999997"/>
    <n v="217255.24"/>
    <n v="0"/>
    <n v="44034.759999999995"/>
  </r>
  <r>
    <x v="0"/>
    <n v="12.09"/>
    <n v="53000"/>
    <n v="45423"/>
    <n v="640770"/>
    <n v="549164.06999999995"/>
    <n v="0"/>
    <n v="91605.93"/>
  </r>
  <r>
    <x v="1"/>
    <n v="0.22"/>
    <n v="53000"/>
    <n v="44237"/>
    <n v="11660"/>
    <n v="9732.14"/>
    <n v="0"/>
    <n v="1927.86"/>
  </r>
  <r>
    <x v="2"/>
    <n v="3.65"/>
    <n v="53000"/>
    <n v="43390"/>
    <n v="193450"/>
    <n v="158373.5"/>
    <n v="0"/>
    <n v="35076.5"/>
  </r>
  <r>
    <x v="3"/>
    <n v="5.81"/>
    <n v="53000"/>
    <n v="43390"/>
    <n v="307930"/>
    <n v="252095.9"/>
    <n v="0"/>
    <n v="55834.1"/>
  </r>
  <r>
    <x v="4"/>
    <n v="7.02"/>
    <n v="53000"/>
    <n v="43220"/>
    <n v="372060"/>
    <n v="303404.39999999997"/>
    <n v="0"/>
    <n v="68655.599999999991"/>
  </r>
  <r>
    <x v="0"/>
    <n v="12.86"/>
    <n v="53000"/>
    <n v="44070"/>
    <n v="681580"/>
    <n v="566740.19999999995"/>
    <n v="0"/>
    <n v="114839.79999999999"/>
  </r>
  <r>
    <x v="1"/>
    <n v="1"/>
    <n v="53000"/>
    <n v="42880"/>
    <n v="53000"/>
    <n v="42880"/>
    <n v="0"/>
    <n v="10120"/>
  </r>
  <r>
    <x v="2"/>
    <n v="3.52"/>
    <n v="53000"/>
    <n v="42030"/>
    <n v="186560"/>
    <n v="147945.60000000001"/>
    <n v="0"/>
    <n v="38614.400000000001"/>
  </r>
  <r>
    <x v="3"/>
    <n v="6.21"/>
    <n v="53000"/>
    <n v="42030"/>
    <n v="329130"/>
    <n v="261006.3"/>
    <n v="0"/>
    <n v="68123.7"/>
  </r>
  <r>
    <x v="4"/>
    <n v="6.75"/>
    <n v="53000"/>
    <n v="41700"/>
    <n v="357750"/>
    <n v="281475"/>
    <n v="0"/>
    <n v="76275"/>
  </r>
  <r>
    <x v="0"/>
    <n v="16.16"/>
    <n v="53000"/>
    <n v="44830"/>
    <n v="856480"/>
    <n v="724452.8"/>
    <n v="0"/>
    <n v="132027.20000000001"/>
  </r>
  <r>
    <x v="1"/>
    <n v="0.95"/>
    <n v="53000"/>
    <n v="43640"/>
    <n v="50350"/>
    <n v="41458"/>
    <n v="0"/>
    <n v="8892"/>
  </r>
  <r>
    <x v="2"/>
    <n v="4.6100000000000003"/>
    <n v="53000"/>
    <n v="42800"/>
    <n v="244330.00000000003"/>
    <n v="197308"/>
    <n v="0"/>
    <n v="47022"/>
  </r>
  <r>
    <x v="3"/>
    <n v="7.74"/>
    <n v="53000"/>
    <n v="42800"/>
    <n v="410220"/>
    <n v="331272"/>
    <n v="0"/>
    <n v="78948"/>
  </r>
  <r>
    <x v="4"/>
    <n v="2.78"/>
    <n v="53000"/>
    <n v="42460"/>
    <n v="147340"/>
    <n v="118038.79999999999"/>
    <n v="0"/>
    <n v="29301.199999999997"/>
  </r>
  <r>
    <x v="0"/>
    <n v="10.51"/>
    <n v="53000"/>
    <n v="46440"/>
    <n v="557030"/>
    <n v="488084.39999999997"/>
    <n v="0"/>
    <n v="68945.600000000006"/>
  </r>
  <r>
    <x v="1"/>
    <n v="0.51"/>
    <n v="53000"/>
    <n v="45250"/>
    <n v="27030"/>
    <n v="23077.5"/>
    <n v="0"/>
    <n v="3952.5"/>
  </r>
  <r>
    <x v="2"/>
    <n v="3.96"/>
    <n v="53000"/>
    <n v="44410"/>
    <n v="209880"/>
    <n v="175863.6"/>
    <n v="0"/>
    <n v="34016.400000000001"/>
  </r>
  <r>
    <x v="3"/>
    <n v="6.83"/>
    <n v="53000"/>
    <n v="44410"/>
    <n v="361990"/>
    <n v="303320.3"/>
    <n v="0"/>
    <n v="58669.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600"/>
    <n v="280"/>
    <n v="269.53149999999999"/>
    <n v="168000"/>
    <n v="161718.9"/>
    <n v="0"/>
    <n v="6281.100000000004"/>
  </r>
  <r>
    <x v="0"/>
    <n v="600"/>
    <n v="280"/>
    <n v="265.625"/>
    <n v="168000"/>
    <n v="159375"/>
    <n v="0"/>
    <n v="8625"/>
  </r>
  <r>
    <x v="1"/>
    <n v="700"/>
    <n v="280"/>
    <n v="253.90649999999999"/>
    <n v="196000"/>
    <n v="177734.55"/>
    <n v="0"/>
    <n v="18265.450000000004"/>
  </r>
  <r>
    <x v="2"/>
    <n v="700"/>
    <n v="280"/>
    <n v="241.52550000000002"/>
    <n v="196000"/>
    <n v="169067.85"/>
    <n v="0"/>
    <n v="26932.149999999983"/>
  </r>
  <r>
    <x v="2"/>
    <n v="700"/>
    <n v="280"/>
    <n v="237.28800000000001"/>
    <n v="196000"/>
    <n v="166101.6"/>
    <n v="0"/>
    <n v="29898.399999999994"/>
  </r>
  <r>
    <x v="3"/>
    <n v="600"/>
    <n v="280"/>
    <n v="233.05100000000002"/>
    <n v="168000"/>
    <n v="139830.6"/>
    <n v="0"/>
    <n v="28169.399999999991"/>
  </r>
  <r>
    <x v="3"/>
    <n v="600"/>
    <n v="280"/>
    <n v="228.8135"/>
    <n v="168000"/>
    <n v="137288.1"/>
    <n v="0"/>
    <n v="30711.8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2C8929-FB17-4C61-8B0E-A335B259417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36:C141" firstHeaderRow="0" firstDataRow="1" firstDataCol="1"/>
  <pivotFields count="8">
    <pivotField axis="axisRow" showAll="0">
      <items count="5">
        <item x="0"/>
        <item x="1"/>
        <item x="2"/>
        <item x="3"/>
        <item t="default"/>
      </items>
    </pivotField>
    <pivotField numFmtId="43" showAll="0"/>
    <pivotField numFmtId="43" showAll="0"/>
    <pivotField numFmtId="43" showAll="0"/>
    <pivotField dataField="1" numFmtId="43" showAll="0"/>
    <pivotField dataField="1" numFmtId="43" showAll="0"/>
    <pivotField numFmtId="43" showAll="0"/>
    <pivotField numFmtId="43" showAll="0"/>
  </pivotFields>
  <rowFields count="1">
    <field x="0"/>
  </rowFields>
  <rowItems count="5">
    <i>
      <x/>
    </i>
    <i>
      <x v="1"/>
    </i>
    <i>
      <x v="2"/>
    </i>
    <i>
      <x v="3"/>
    </i>
    <i t="grand">
      <x/>
    </i>
  </rowItems>
  <colFields count="1">
    <field x="-2"/>
  </colFields>
  <colItems count="2">
    <i>
      <x/>
    </i>
    <i i="1">
      <x v="1"/>
    </i>
  </colItems>
  <dataFields count="2">
    <dataField name="Sum of Basic Rate Amount" fld="4" baseField="0" baseItem="0" numFmtId="43"/>
    <dataField name="Sum of Purchase Rate Amount" fld="5" baseField="0" baseItem="0" numFmtId="43"/>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E4293B-44DF-4446-9773-41BEB467A72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26:B132" firstHeaderRow="1" firstDataRow="1" firstDataCol="1"/>
  <pivotFields count="8">
    <pivotField axis="axisRow" showAll="0" sortType="descending">
      <items count="6">
        <item x="4"/>
        <item x="3"/>
        <item x="2"/>
        <item x="1"/>
        <item x="0"/>
        <item t="default"/>
      </items>
      <autoSortScope>
        <pivotArea dataOnly="0" outline="0" fieldPosition="0">
          <references count="1">
            <reference field="4294967294" count="1" selected="0">
              <x v="0"/>
            </reference>
          </references>
        </pivotArea>
      </autoSortScope>
    </pivotField>
    <pivotField showAll="0"/>
    <pivotField numFmtId="171" showAll="0"/>
    <pivotField numFmtId="171" showAll="0"/>
    <pivotField numFmtId="171" showAll="0"/>
    <pivotField numFmtId="171" showAll="0"/>
    <pivotField numFmtId="171" showAll="0"/>
    <pivotField dataField="1" numFmtId="171" showAll="0"/>
  </pivotFields>
  <rowFields count="1">
    <field x="0"/>
  </rowFields>
  <rowItems count="6">
    <i>
      <x v="4"/>
    </i>
    <i>
      <x v="1"/>
    </i>
    <i>
      <x/>
    </i>
    <i>
      <x v="2"/>
    </i>
    <i>
      <x v="3"/>
    </i>
    <i t="grand">
      <x/>
    </i>
  </rowItems>
  <colItems count="1">
    <i/>
  </colItems>
  <dataFields count="1">
    <dataField name="Sum of Saving Amount  " fld="7" baseField="0" baseItem="0" numFmtId="171"/>
  </dataFields>
  <chartFormats count="6">
    <chartFormat chart="4" format="20" series="1">
      <pivotArea type="data" outline="0" fieldPosition="0">
        <references count="2">
          <reference field="4294967294" count="1" selected="0">
            <x v="0"/>
          </reference>
          <reference field="0" count="1" selected="0">
            <x v="4"/>
          </reference>
        </references>
      </pivotArea>
    </chartFormat>
    <chartFormat chart="4" format="21" series="1">
      <pivotArea type="data" outline="0" fieldPosition="0">
        <references count="2">
          <reference field="4294967294" count="1" selected="0">
            <x v="0"/>
          </reference>
          <reference field="0" count="1" selected="0">
            <x v="3"/>
          </reference>
        </references>
      </pivotArea>
    </chartFormat>
    <chartFormat chart="4" format="22" series="1">
      <pivotArea type="data" outline="0" fieldPosition="0">
        <references count="2">
          <reference field="4294967294" count="1" selected="0">
            <x v="0"/>
          </reference>
          <reference field="0" count="1" selected="0">
            <x v="2"/>
          </reference>
        </references>
      </pivotArea>
    </chartFormat>
    <chartFormat chart="4" format="23" series="1">
      <pivotArea type="data" outline="0" fieldPosition="0">
        <references count="2">
          <reference field="4294967294" count="1" selected="0">
            <x v="0"/>
          </reference>
          <reference field="0" count="1" selected="0">
            <x v="1"/>
          </reference>
        </references>
      </pivotArea>
    </chartFormat>
    <chartFormat chart="4" format="24" series="1">
      <pivotArea type="data" outline="0" fieldPosition="0">
        <references count="2">
          <reference field="4294967294" count="1" selected="0">
            <x v="0"/>
          </reference>
          <reference field="0" count="1" selected="0">
            <x v="0"/>
          </reference>
        </references>
      </pivotArea>
    </chartFormat>
    <chartFormat chart="4" format="2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BADDD-CC3E-48C2-8E41-071A88A090E4}">
  <dimension ref="A1:AB141"/>
  <sheetViews>
    <sheetView tabSelected="1" zoomScale="35" zoomScaleNormal="55" workbookViewId="0">
      <selection activeCell="AI42" sqref="AI42"/>
    </sheetView>
  </sheetViews>
  <sheetFormatPr defaultRowHeight="14.4"/>
  <cols>
    <col min="1" max="1" width="30.33203125" customWidth="1"/>
    <col min="2" max="2" width="33.21875" bestFit="1" customWidth="1"/>
    <col min="3" max="4" width="38.109375" bestFit="1" customWidth="1"/>
    <col min="5" max="5" width="7.33203125" bestFit="1" customWidth="1"/>
    <col min="6" max="6" width="8.88671875" bestFit="1" customWidth="1"/>
    <col min="7" max="7" width="10.5546875" bestFit="1" customWidth="1"/>
    <col min="8" max="10" width="20.44140625" bestFit="1" customWidth="1"/>
    <col min="11" max="11" width="20.77734375" bestFit="1" customWidth="1"/>
    <col min="12" max="12" width="25" bestFit="1" customWidth="1"/>
    <col min="27" max="27" width="8.88671875" customWidth="1"/>
    <col min="28" max="28" width="10.44140625" customWidth="1"/>
  </cols>
  <sheetData>
    <row r="1" spans="1:28" ht="14.4" customHeight="1">
      <c r="A1" s="218" t="s">
        <v>250</v>
      </c>
      <c r="B1" s="219"/>
      <c r="C1" s="219"/>
      <c r="D1" s="219"/>
      <c r="E1" s="219"/>
      <c r="F1" s="219"/>
      <c r="G1" s="219"/>
      <c r="H1" s="219"/>
      <c r="I1" s="219"/>
      <c r="J1" s="219"/>
      <c r="K1" s="219"/>
      <c r="L1" s="219"/>
      <c r="M1" s="219"/>
      <c r="N1" s="219"/>
      <c r="O1" s="219"/>
      <c r="P1" s="219"/>
      <c r="Q1" s="219"/>
      <c r="R1" s="219"/>
      <c r="S1" s="219"/>
      <c r="T1" s="219"/>
      <c r="U1" s="219"/>
      <c r="V1" s="219"/>
      <c r="W1" s="219"/>
      <c r="X1" s="219"/>
      <c r="Y1" s="219"/>
      <c r="Z1" s="219"/>
      <c r="AA1" s="219"/>
      <c r="AB1" s="220"/>
    </row>
    <row r="2" spans="1:28" ht="15" customHeight="1">
      <c r="A2" s="221"/>
      <c r="B2" s="222"/>
      <c r="C2" s="222"/>
      <c r="D2" s="222"/>
      <c r="E2" s="222"/>
      <c r="F2" s="222"/>
      <c r="G2" s="222"/>
      <c r="H2" s="222"/>
      <c r="I2" s="222"/>
      <c r="J2" s="222"/>
      <c r="K2" s="222"/>
      <c r="L2" s="222"/>
      <c r="M2" s="222"/>
      <c r="N2" s="222"/>
      <c r="O2" s="222"/>
      <c r="P2" s="222"/>
      <c r="Q2" s="222"/>
      <c r="R2" s="222"/>
      <c r="S2" s="222"/>
      <c r="T2" s="222"/>
      <c r="U2" s="222"/>
      <c r="V2" s="222"/>
      <c r="W2" s="222"/>
      <c r="X2" s="222"/>
      <c r="Y2" s="222"/>
      <c r="Z2" s="222"/>
      <c r="AA2" s="222"/>
      <c r="AB2" s="223"/>
    </row>
    <row r="3" spans="1:28">
      <c r="A3" s="221"/>
      <c r="B3" s="222"/>
      <c r="C3" s="222"/>
      <c r="D3" s="222"/>
      <c r="E3" s="222"/>
      <c r="F3" s="222"/>
      <c r="G3" s="222"/>
      <c r="H3" s="222"/>
      <c r="I3" s="222"/>
      <c r="J3" s="222"/>
      <c r="K3" s="222"/>
      <c r="L3" s="222"/>
      <c r="M3" s="222"/>
      <c r="N3" s="222"/>
      <c r="O3" s="222"/>
      <c r="P3" s="222"/>
      <c r="Q3" s="222"/>
      <c r="R3" s="222"/>
      <c r="S3" s="222"/>
      <c r="T3" s="222"/>
      <c r="U3" s="222"/>
      <c r="V3" s="222"/>
      <c r="W3" s="222"/>
      <c r="X3" s="222"/>
      <c r="Y3" s="222"/>
      <c r="Z3" s="222"/>
      <c r="AA3" s="222"/>
      <c r="AB3" s="223"/>
    </row>
    <row r="4" spans="1:28" ht="15" thickBot="1">
      <c r="A4" s="224"/>
      <c r="B4" s="225"/>
      <c r="C4" s="225"/>
      <c r="D4" s="225"/>
      <c r="E4" s="225"/>
      <c r="F4" s="225"/>
      <c r="G4" s="225"/>
      <c r="H4" s="225"/>
      <c r="I4" s="225"/>
      <c r="J4" s="225"/>
      <c r="K4" s="225"/>
      <c r="L4" s="225"/>
      <c r="M4" s="225"/>
      <c r="N4" s="225"/>
      <c r="O4" s="225"/>
      <c r="P4" s="225"/>
      <c r="Q4" s="225"/>
      <c r="R4" s="225"/>
      <c r="S4" s="225"/>
      <c r="T4" s="225"/>
      <c r="U4" s="225"/>
      <c r="V4" s="225"/>
      <c r="W4" s="225"/>
      <c r="X4" s="225"/>
      <c r="Y4" s="225"/>
      <c r="Z4" s="225"/>
      <c r="AA4" s="225"/>
      <c r="AB4" s="226"/>
    </row>
    <row r="5" spans="1:28" ht="14.4" customHeight="1">
      <c r="A5" s="227" t="s">
        <v>249</v>
      </c>
      <c r="B5" s="229">
        <f ca="1">TODAY()</f>
        <v>46044</v>
      </c>
      <c r="C5" s="235"/>
      <c r="D5" s="233" t="s">
        <v>254</v>
      </c>
      <c r="E5" s="231">
        <f>Budget!D43</f>
        <v>104684308.95581</v>
      </c>
      <c r="F5" s="231"/>
      <c r="G5" s="231"/>
      <c r="H5" s="231"/>
      <c r="I5" s="235"/>
      <c r="J5" s="233" t="s">
        <v>257</v>
      </c>
      <c r="K5" s="233"/>
      <c r="L5" s="231">
        <f>Budget!D44</f>
        <v>100626103.09262173</v>
      </c>
      <c r="M5" s="231"/>
      <c r="N5" s="231"/>
      <c r="O5" s="235"/>
      <c r="P5" s="235"/>
      <c r="Q5" s="235"/>
      <c r="R5" s="235"/>
      <c r="S5" s="235"/>
      <c r="T5" s="235"/>
      <c r="U5" s="238" t="s">
        <v>258</v>
      </c>
      <c r="V5" s="238"/>
      <c r="W5" s="238"/>
      <c r="X5" s="238"/>
      <c r="Y5" s="238"/>
      <c r="Z5" s="236">
        <f>Budget!D45</f>
        <v>-4058205.8631882668</v>
      </c>
      <c r="AA5" s="236"/>
      <c r="AB5" s="237"/>
    </row>
    <row r="6" spans="1:28" ht="14.4" customHeight="1">
      <c r="A6" s="228"/>
      <c r="B6" s="230"/>
      <c r="C6" s="235"/>
      <c r="D6" s="234"/>
      <c r="E6" s="232"/>
      <c r="F6" s="232"/>
      <c r="G6" s="232"/>
      <c r="H6" s="232"/>
      <c r="I6" s="235"/>
      <c r="J6" s="234"/>
      <c r="K6" s="234"/>
      <c r="L6" s="232"/>
      <c r="M6" s="232"/>
      <c r="N6" s="232"/>
      <c r="O6" s="235"/>
      <c r="P6" s="235"/>
      <c r="Q6" s="235"/>
      <c r="R6" s="235"/>
      <c r="S6" s="235"/>
      <c r="T6" s="235"/>
      <c r="U6" s="238"/>
      <c r="V6" s="238"/>
      <c r="W6" s="238"/>
      <c r="X6" s="238"/>
      <c r="Y6" s="238"/>
      <c r="Z6" s="236"/>
      <c r="AA6" s="236"/>
      <c r="AB6" s="237"/>
    </row>
    <row r="7" spans="1:28">
      <c r="A7" s="206"/>
      <c r="B7" s="207"/>
      <c r="C7" s="207"/>
      <c r="D7" s="207"/>
      <c r="E7" s="207"/>
      <c r="F7" s="207"/>
      <c r="G7" s="207"/>
      <c r="H7" s="207"/>
      <c r="I7" s="207"/>
      <c r="J7" s="207"/>
      <c r="K7" s="207"/>
      <c r="L7" s="207"/>
      <c r="M7" s="207"/>
      <c r="N7" s="207"/>
      <c r="O7" s="207"/>
      <c r="P7" s="207"/>
      <c r="Q7" s="207"/>
      <c r="R7" s="207"/>
      <c r="S7" s="207"/>
      <c r="T7" s="207"/>
      <c r="U7" s="207"/>
      <c r="V7" s="207"/>
      <c r="W7" s="207"/>
      <c r="X7" s="207"/>
      <c r="Y7" s="207"/>
      <c r="Z7" s="207"/>
      <c r="AA7" s="207"/>
      <c r="AB7" s="208"/>
    </row>
    <row r="8" spans="1:28">
      <c r="A8" s="206"/>
      <c r="B8" s="207"/>
      <c r="C8" s="207"/>
      <c r="D8" s="207"/>
      <c r="E8" s="207"/>
      <c r="F8" s="207"/>
      <c r="G8" s="207"/>
      <c r="H8" s="207"/>
      <c r="I8" s="207"/>
      <c r="J8" s="207"/>
      <c r="K8" s="207"/>
      <c r="L8" s="207"/>
      <c r="M8" s="207"/>
      <c r="N8" s="207"/>
      <c r="O8" s="207"/>
      <c r="P8" s="207"/>
      <c r="Q8" s="207"/>
      <c r="R8" s="207"/>
      <c r="S8" s="207"/>
      <c r="T8" s="207"/>
      <c r="U8" s="207"/>
      <c r="V8" s="207"/>
      <c r="W8" s="207"/>
      <c r="X8" s="207"/>
      <c r="Y8" s="207"/>
      <c r="Z8" s="207"/>
      <c r="AA8" s="207"/>
      <c r="AB8" s="208"/>
    </row>
    <row r="9" spans="1:28">
      <c r="A9" s="206"/>
      <c r="B9" s="207"/>
      <c r="C9" s="207"/>
      <c r="D9" s="207"/>
      <c r="E9" s="207"/>
      <c r="F9" s="207"/>
      <c r="G9" s="207"/>
      <c r="H9" s="207"/>
      <c r="I9" s="207"/>
      <c r="J9" s="207"/>
      <c r="K9" s="207"/>
      <c r="L9" s="207"/>
      <c r="M9" s="207"/>
      <c r="N9" s="207"/>
      <c r="O9" s="207"/>
      <c r="P9" s="207"/>
      <c r="Q9" s="207"/>
      <c r="R9" s="207"/>
      <c r="S9" s="207"/>
      <c r="T9" s="207"/>
      <c r="U9" s="207"/>
      <c r="V9" s="207"/>
      <c r="W9" s="207"/>
      <c r="X9" s="207"/>
      <c r="Y9" s="207"/>
      <c r="Z9" s="207"/>
      <c r="AA9" s="207"/>
      <c r="AB9" s="208"/>
    </row>
    <row r="10" spans="1:28">
      <c r="A10" s="206"/>
      <c r="B10" s="207"/>
      <c r="C10" s="207"/>
      <c r="D10" s="207"/>
      <c r="E10" s="207"/>
      <c r="F10" s="207"/>
      <c r="G10" s="207"/>
      <c r="H10" s="207"/>
      <c r="I10" s="207"/>
      <c r="J10" s="207"/>
      <c r="K10" s="207"/>
      <c r="L10" s="207"/>
      <c r="M10" s="207"/>
      <c r="N10" s="207"/>
      <c r="O10" s="207"/>
      <c r="P10" s="207"/>
      <c r="Q10" s="207"/>
      <c r="R10" s="207"/>
      <c r="S10" s="207"/>
      <c r="T10" s="207"/>
      <c r="U10" s="207"/>
      <c r="V10" s="207"/>
      <c r="W10" s="207"/>
      <c r="X10" s="207"/>
      <c r="Y10" s="207"/>
      <c r="Z10" s="207"/>
      <c r="AA10" s="207"/>
      <c r="AB10" s="208"/>
    </row>
    <row r="11" spans="1:28">
      <c r="A11" s="206"/>
      <c r="B11" s="207"/>
      <c r="C11" s="207"/>
      <c r="D11" s="207"/>
      <c r="E11" s="207"/>
      <c r="F11" s="207"/>
      <c r="G11" s="207"/>
      <c r="H11" s="207"/>
      <c r="I11" s="207"/>
      <c r="J11" s="207"/>
      <c r="K11" s="207"/>
      <c r="L11" s="207"/>
      <c r="M11" s="207"/>
      <c r="N11" s="207"/>
      <c r="O11" s="207"/>
      <c r="P11" s="207"/>
      <c r="Q11" s="207"/>
      <c r="R11" s="207"/>
      <c r="S11" s="207"/>
      <c r="T11" s="207"/>
      <c r="U11" s="207"/>
      <c r="V11" s="207"/>
      <c r="W11" s="207"/>
      <c r="X11" s="207"/>
      <c r="Y11" s="207"/>
      <c r="Z11" s="207"/>
      <c r="AA11" s="207"/>
      <c r="AB11" s="208"/>
    </row>
    <row r="12" spans="1:28">
      <c r="A12" s="206"/>
      <c r="B12" s="207"/>
      <c r="C12" s="207"/>
      <c r="D12" s="207"/>
      <c r="E12" s="207"/>
      <c r="F12" s="207"/>
      <c r="G12" s="207"/>
      <c r="H12" s="207"/>
      <c r="I12" s="207"/>
      <c r="J12" s="207"/>
      <c r="K12" s="207"/>
      <c r="L12" s="207"/>
      <c r="M12" s="207"/>
      <c r="N12" s="207"/>
      <c r="O12" s="207"/>
      <c r="P12" s="207"/>
      <c r="Q12" s="207"/>
      <c r="R12" s="207"/>
      <c r="S12" s="207"/>
      <c r="T12" s="207"/>
      <c r="U12" s="207"/>
      <c r="V12" s="207"/>
      <c r="W12" s="207"/>
      <c r="X12" s="207"/>
      <c r="Y12" s="207"/>
      <c r="Z12" s="207"/>
      <c r="AA12" s="207"/>
      <c r="AB12" s="208"/>
    </row>
    <row r="13" spans="1:28">
      <c r="A13" s="206"/>
      <c r="B13" s="207"/>
      <c r="C13" s="207"/>
      <c r="D13" s="207"/>
      <c r="E13" s="207"/>
      <c r="F13" s="207"/>
      <c r="G13" s="207"/>
      <c r="H13" s="207"/>
      <c r="I13" s="207"/>
      <c r="J13" s="207"/>
      <c r="K13" s="207"/>
      <c r="L13" s="207"/>
      <c r="M13" s="207"/>
      <c r="N13" s="207"/>
      <c r="O13" s="207"/>
      <c r="P13" s="207"/>
      <c r="Q13" s="207"/>
      <c r="R13" s="207"/>
      <c r="S13" s="207"/>
      <c r="T13" s="207"/>
      <c r="U13" s="207"/>
      <c r="V13" s="207"/>
      <c r="W13" s="207"/>
      <c r="X13" s="207"/>
      <c r="Y13" s="207"/>
      <c r="Z13" s="207"/>
      <c r="AA13" s="207"/>
      <c r="AB13" s="208"/>
    </row>
    <row r="14" spans="1:28">
      <c r="A14" s="206"/>
      <c r="B14" s="207"/>
      <c r="C14" s="207"/>
      <c r="D14" s="207"/>
      <c r="E14" s="207"/>
      <c r="F14" s="207"/>
      <c r="G14" s="207"/>
      <c r="H14" s="207"/>
      <c r="I14" s="207"/>
      <c r="J14" s="207"/>
      <c r="K14" s="207"/>
      <c r="L14" s="207"/>
      <c r="M14" s="207"/>
      <c r="N14" s="207"/>
      <c r="O14" s="207"/>
      <c r="P14" s="207"/>
      <c r="Q14" s="207"/>
      <c r="R14" s="207"/>
      <c r="S14" s="207"/>
      <c r="T14" s="207"/>
      <c r="U14" s="207"/>
      <c r="V14" s="207"/>
      <c r="W14" s="207"/>
      <c r="X14" s="207"/>
      <c r="Y14" s="207"/>
      <c r="Z14" s="207"/>
      <c r="AA14" s="207"/>
      <c r="AB14" s="208"/>
    </row>
    <row r="15" spans="1:28">
      <c r="A15" s="206"/>
      <c r="B15" s="207"/>
      <c r="C15" s="207"/>
      <c r="D15" s="207"/>
      <c r="E15" s="207"/>
      <c r="F15" s="207"/>
      <c r="G15" s="207"/>
      <c r="H15" s="207"/>
      <c r="I15" s="207"/>
      <c r="J15" s="207"/>
      <c r="K15" s="207"/>
      <c r="L15" s="207"/>
      <c r="M15" s="207"/>
      <c r="N15" s="207"/>
      <c r="O15" s="207"/>
      <c r="P15" s="207"/>
      <c r="Q15" s="207"/>
      <c r="R15" s="207"/>
      <c r="S15" s="207"/>
      <c r="T15" s="207"/>
      <c r="U15" s="207"/>
      <c r="V15" s="207"/>
      <c r="W15" s="207"/>
      <c r="X15" s="207"/>
      <c r="Y15" s="207"/>
      <c r="Z15" s="207"/>
      <c r="AA15" s="207"/>
      <c r="AB15" s="208"/>
    </row>
    <row r="16" spans="1:28">
      <c r="A16" s="206"/>
      <c r="B16" s="207"/>
      <c r="C16" s="207"/>
      <c r="D16" s="207"/>
      <c r="E16" s="207"/>
      <c r="F16" s="207"/>
      <c r="G16" s="207"/>
      <c r="H16" s="207"/>
      <c r="I16" s="207"/>
      <c r="J16" s="207"/>
      <c r="K16" s="207"/>
      <c r="L16" s="207"/>
      <c r="M16" s="207"/>
      <c r="N16" s="207"/>
      <c r="O16" s="207"/>
      <c r="P16" s="207"/>
      <c r="Q16" s="207"/>
      <c r="R16" s="207"/>
      <c r="S16" s="207"/>
      <c r="T16" s="207"/>
      <c r="U16" s="207"/>
      <c r="V16" s="207"/>
      <c r="W16" s="207"/>
      <c r="X16" s="207"/>
      <c r="Y16" s="207"/>
      <c r="Z16" s="207"/>
      <c r="AA16" s="207"/>
      <c r="AB16" s="208"/>
    </row>
    <row r="17" spans="1:28">
      <c r="A17" s="206"/>
      <c r="B17" s="207"/>
      <c r="C17" s="207"/>
      <c r="D17" s="207"/>
      <c r="E17" s="207"/>
      <c r="F17" s="207"/>
      <c r="G17" s="207"/>
      <c r="H17" s="207"/>
      <c r="I17" s="207"/>
      <c r="J17" s="207"/>
      <c r="K17" s="207"/>
      <c r="L17" s="207"/>
      <c r="M17" s="207"/>
      <c r="N17" s="207"/>
      <c r="O17" s="207"/>
      <c r="P17" s="207"/>
      <c r="Q17" s="207"/>
      <c r="R17" s="207"/>
      <c r="S17" s="207"/>
      <c r="T17" s="207"/>
      <c r="U17" s="207"/>
      <c r="V17" s="207"/>
      <c r="W17" s="207"/>
      <c r="X17" s="207"/>
      <c r="Y17" s="207"/>
      <c r="Z17" s="207"/>
      <c r="AA17" s="207"/>
      <c r="AB17" s="208"/>
    </row>
    <row r="18" spans="1:28">
      <c r="A18" s="206"/>
      <c r="B18" s="207"/>
      <c r="C18" s="207"/>
      <c r="D18" s="207"/>
      <c r="E18" s="207"/>
      <c r="F18" s="207"/>
      <c r="G18" s="207"/>
      <c r="H18" s="207"/>
      <c r="I18" s="207"/>
      <c r="J18" s="207"/>
      <c r="K18" s="207"/>
      <c r="L18" s="207"/>
      <c r="M18" s="207"/>
      <c r="N18" s="207"/>
      <c r="O18" s="207"/>
      <c r="P18" s="207"/>
      <c r="Q18" s="207"/>
      <c r="R18" s="207"/>
      <c r="S18" s="207"/>
      <c r="T18" s="207"/>
      <c r="U18" s="207"/>
      <c r="V18" s="207"/>
      <c r="W18" s="207"/>
      <c r="X18" s="207"/>
      <c r="Y18" s="207"/>
      <c r="Z18" s="207"/>
      <c r="AA18" s="207"/>
      <c r="AB18" s="208"/>
    </row>
    <row r="19" spans="1:28">
      <c r="A19" s="206"/>
      <c r="B19" s="207"/>
      <c r="C19" s="207"/>
      <c r="D19" s="207"/>
      <c r="E19" s="207"/>
      <c r="F19" s="207"/>
      <c r="G19" s="207"/>
      <c r="H19" s="207"/>
      <c r="I19" s="207"/>
      <c r="J19" s="207"/>
      <c r="K19" s="207"/>
      <c r="L19" s="207"/>
      <c r="M19" s="207"/>
      <c r="N19" s="207"/>
      <c r="O19" s="207"/>
      <c r="P19" s="207"/>
      <c r="Q19" s="207"/>
      <c r="R19" s="207"/>
      <c r="S19" s="207"/>
      <c r="T19" s="207"/>
      <c r="U19" s="207"/>
      <c r="V19" s="207"/>
      <c r="W19" s="207"/>
      <c r="X19" s="207"/>
      <c r="Y19" s="207"/>
      <c r="Z19" s="207"/>
      <c r="AA19" s="207"/>
      <c r="AB19" s="208"/>
    </row>
    <row r="20" spans="1:28">
      <c r="A20" s="206"/>
      <c r="B20" s="207"/>
      <c r="C20" s="207"/>
      <c r="D20" s="207"/>
      <c r="E20" s="207"/>
      <c r="F20" s="207"/>
      <c r="G20" s="207"/>
      <c r="H20" s="207"/>
      <c r="I20" s="207"/>
      <c r="J20" s="207"/>
      <c r="K20" s="207"/>
      <c r="L20" s="207"/>
      <c r="M20" s="207"/>
      <c r="N20" s="207"/>
      <c r="O20" s="207"/>
      <c r="P20" s="207"/>
      <c r="Q20" s="207"/>
      <c r="R20" s="207"/>
      <c r="S20" s="207"/>
      <c r="T20" s="207"/>
      <c r="U20" s="207"/>
      <c r="V20" s="207"/>
      <c r="W20" s="207"/>
      <c r="X20" s="207"/>
      <c r="Y20" s="207"/>
      <c r="Z20" s="207"/>
      <c r="AA20" s="207"/>
      <c r="AB20" s="208"/>
    </row>
    <row r="21" spans="1:28">
      <c r="A21" s="206"/>
      <c r="B21" s="207"/>
      <c r="C21" s="207"/>
      <c r="D21" s="207"/>
      <c r="E21" s="207"/>
      <c r="F21" s="207"/>
      <c r="G21" s="207"/>
      <c r="H21" s="207"/>
      <c r="I21" s="207"/>
      <c r="J21" s="207"/>
      <c r="K21" s="207"/>
      <c r="L21" s="207"/>
      <c r="M21" s="207"/>
      <c r="N21" s="207"/>
      <c r="O21" s="207"/>
      <c r="P21" s="207"/>
      <c r="Q21" s="207"/>
      <c r="R21" s="207"/>
      <c r="S21" s="207"/>
      <c r="T21" s="207"/>
      <c r="U21" s="207"/>
      <c r="V21" s="207"/>
      <c r="W21" s="207"/>
      <c r="X21" s="207"/>
      <c r="Y21" s="207"/>
      <c r="Z21" s="207"/>
      <c r="AA21" s="207"/>
      <c r="AB21" s="208"/>
    </row>
    <row r="22" spans="1:28">
      <c r="A22" s="206"/>
      <c r="B22" s="207"/>
      <c r="C22" s="207"/>
      <c r="D22" s="207"/>
      <c r="E22" s="207"/>
      <c r="F22" s="207"/>
      <c r="G22" s="207"/>
      <c r="H22" s="207"/>
      <c r="I22" s="207"/>
      <c r="J22" s="207"/>
      <c r="K22" s="207"/>
      <c r="L22" s="207"/>
      <c r="M22" s="207"/>
      <c r="N22" s="207"/>
      <c r="O22" s="207"/>
      <c r="P22" s="207"/>
      <c r="Q22" s="207"/>
      <c r="R22" s="207"/>
      <c r="S22" s="207"/>
      <c r="T22" s="207"/>
      <c r="U22" s="207"/>
      <c r="V22" s="207"/>
      <c r="W22" s="207"/>
      <c r="X22" s="207"/>
      <c r="Y22" s="207"/>
      <c r="Z22" s="207"/>
      <c r="AA22" s="207"/>
      <c r="AB22" s="208"/>
    </row>
    <row r="23" spans="1:28">
      <c r="A23" s="206"/>
      <c r="B23" s="207"/>
      <c r="C23" s="207"/>
      <c r="D23" s="207"/>
      <c r="E23" s="207"/>
      <c r="F23" s="207"/>
      <c r="G23" s="207"/>
      <c r="H23" s="207"/>
      <c r="I23" s="207"/>
      <c r="J23" s="207"/>
      <c r="K23" s="207"/>
      <c r="L23" s="207"/>
      <c r="M23" s="207"/>
      <c r="N23" s="207"/>
      <c r="O23" s="207"/>
      <c r="P23" s="207"/>
      <c r="Q23" s="207"/>
      <c r="R23" s="207"/>
      <c r="S23" s="207"/>
      <c r="T23" s="207"/>
      <c r="U23" s="207"/>
      <c r="V23" s="207"/>
      <c r="W23" s="207"/>
      <c r="X23" s="207"/>
      <c r="Y23" s="207"/>
      <c r="Z23" s="207"/>
      <c r="AA23" s="207"/>
      <c r="AB23" s="208"/>
    </row>
    <row r="24" spans="1:28">
      <c r="A24" s="206"/>
      <c r="B24" s="207"/>
      <c r="C24" s="207"/>
      <c r="D24" s="207"/>
      <c r="E24" s="207"/>
      <c r="F24" s="207"/>
      <c r="G24" s="207"/>
      <c r="H24" s="207"/>
      <c r="I24" s="207"/>
      <c r="J24" s="207"/>
      <c r="K24" s="207"/>
      <c r="L24" s="207"/>
      <c r="M24" s="207"/>
      <c r="N24" s="207"/>
      <c r="O24" s="207"/>
      <c r="P24" s="207"/>
      <c r="Q24" s="207"/>
      <c r="R24" s="207"/>
      <c r="S24" s="207"/>
      <c r="T24" s="207"/>
      <c r="U24" s="207"/>
      <c r="V24" s="207"/>
      <c r="W24" s="207"/>
      <c r="X24" s="207"/>
      <c r="Y24" s="207"/>
      <c r="Z24" s="207"/>
      <c r="AA24" s="207"/>
      <c r="AB24" s="208"/>
    </row>
    <row r="25" spans="1:28">
      <c r="A25" s="206"/>
      <c r="B25" s="207"/>
      <c r="C25" s="207"/>
      <c r="D25" s="207"/>
      <c r="E25" s="207"/>
      <c r="F25" s="207"/>
      <c r="G25" s="207"/>
      <c r="H25" s="207"/>
      <c r="I25" s="207"/>
      <c r="J25" s="207"/>
      <c r="K25" s="207"/>
      <c r="L25" s="207"/>
      <c r="M25" s="207"/>
      <c r="N25" s="207"/>
      <c r="O25" s="207"/>
      <c r="P25" s="207"/>
      <c r="Q25" s="207"/>
      <c r="R25" s="207"/>
      <c r="S25" s="207"/>
      <c r="T25" s="207"/>
      <c r="U25" s="207"/>
      <c r="V25" s="207"/>
      <c r="W25" s="207"/>
      <c r="X25" s="207"/>
      <c r="Y25" s="207"/>
      <c r="Z25" s="207"/>
      <c r="AA25" s="207"/>
      <c r="AB25" s="208"/>
    </row>
    <row r="26" spans="1:28">
      <c r="A26" s="206"/>
      <c r="B26" s="207"/>
      <c r="C26" s="207"/>
      <c r="D26" s="207"/>
      <c r="E26" s="207"/>
      <c r="F26" s="207"/>
      <c r="G26" s="207"/>
      <c r="H26" s="207"/>
      <c r="I26" s="207"/>
      <c r="J26" s="207"/>
      <c r="K26" s="207"/>
      <c r="L26" s="207"/>
      <c r="M26" s="207"/>
      <c r="N26" s="207"/>
      <c r="O26" s="207"/>
      <c r="P26" s="207"/>
      <c r="Q26" s="207"/>
      <c r="R26" s="207"/>
      <c r="S26" s="207"/>
      <c r="T26" s="207"/>
      <c r="U26" s="207"/>
      <c r="V26" s="207"/>
      <c r="W26" s="207"/>
      <c r="X26" s="207"/>
      <c r="Y26" s="207"/>
      <c r="Z26" s="207"/>
      <c r="AA26" s="207"/>
      <c r="AB26" s="208"/>
    </row>
    <row r="27" spans="1:28">
      <c r="A27" s="206"/>
      <c r="B27" s="207"/>
      <c r="C27" s="207"/>
      <c r="D27" s="207"/>
      <c r="E27" s="207"/>
      <c r="F27" s="207"/>
      <c r="G27" s="207"/>
      <c r="H27" s="207"/>
      <c r="I27" s="207"/>
      <c r="J27" s="207"/>
      <c r="K27" s="207"/>
      <c r="L27" s="207"/>
      <c r="M27" s="207"/>
      <c r="N27" s="207"/>
      <c r="O27" s="207"/>
      <c r="P27" s="207"/>
      <c r="Q27" s="207"/>
      <c r="R27" s="207"/>
      <c r="S27" s="207"/>
      <c r="T27" s="207"/>
      <c r="U27" s="207"/>
      <c r="V27" s="207"/>
      <c r="W27" s="207"/>
      <c r="X27" s="207"/>
      <c r="Y27" s="207"/>
      <c r="Z27" s="207"/>
      <c r="AA27" s="207"/>
      <c r="AB27" s="208"/>
    </row>
    <row r="28" spans="1:28">
      <c r="A28" s="206"/>
      <c r="B28" s="207"/>
      <c r="C28" s="207"/>
      <c r="D28" s="207"/>
      <c r="E28" s="207"/>
      <c r="F28" s="207"/>
      <c r="G28" s="207"/>
      <c r="H28" s="207"/>
      <c r="I28" s="207"/>
      <c r="J28" s="207"/>
      <c r="K28" s="207"/>
      <c r="L28" s="207"/>
      <c r="M28" s="207"/>
      <c r="N28" s="207"/>
      <c r="O28" s="207"/>
      <c r="P28" s="207"/>
      <c r="Q28" s="207"/>
      <c r="R28" s="207"/>
      <c r="S28" s="207"/>
      <c r="T28" s="207"/>
      <c r="U28" s="207"/>
      <c r="V28" s="207"/>
      <c r="W28" s="207"/>
      <c r="X28" s="207"/>
      <c r="Y28" s="207"/>
      <c r="Z28" s="207"/>
      <c r="AA28" s="207"/>
      <c r="AB28" s="208"/>
    </row>
    <row r="29" spans="1:28">
      <c r="A29" s="206"/>
      <c r="B29" s="207"/>
      <c r="C29" s="207"/>
      <c r="D29" s="207"/>
      <c r="E29" s="207"/>
      <c r="F29" s="207"/>
      <c r="G29" s="207"/>
      <c r="H29" s="207"/>
      <c r="I29" s="207"/>
      <c r="J29" s="207"/>
      <c r="K29" s="207"/>
      <c r="L29" s="207"/>
      <c r="M29" s="207"/>
      <c r="N29" s="207"/>
      <c r="O29" s="207"/>
      <c r="P29" s="207"/>
      <c r="Q29" s="207"/>
      <c r="R29" s="207"/>
      <c r="S29" s="207"/>
      <c r="T29" s="207"/>
      <c r="U29" s="207"/>
      <c r="V29" s="207"/>
      <c r="W29" s="207"/>
      <c r="X29" s="207"/>
      <c r="Y29" s="207"/>
      <c r="Z29" s="207"/>
      <c r="AA29" s="207"/>
      <c r="AB29" s="208"/>
    </row>
    <row r="30" spans="1:28">
      <c r="A30" s="206"/>
      <c r="B30" s="207"/>
      <c r="C30" s="207"/>
      <c r="D30" s="207"/>
      <c r="E30" s="207"/>
      <c r="F30" s="207"/>
      <c r="G30" s="207"/>
      <c r="H30" s="207"/>
      <c r="I30" s="207"/>
      <c r="J30" s="207"/>
      <c r="K30" s="207"/>
      <c r="L30" s="207"/>
      <c r="M30" s="207"/>
      <c r="N30" s="207"/>
      <c r="O30" s="207"/>
      <c r="P30" s="207"/>
      <c r="Q30" s="207"/>
      <c r="R30" s="207"/>
      <c r="S30" s="207"/>
      <c r="T30" s="207"/>
      <c r="U30" s="207"/>
      <c r="V30" s="207"/>
      <c r="W30" s="207"/>
      <c r="X30" s="207"/>
      <c r="Y30" s="207"/>
      <c r="Z30" s="207"/>
      <c r="AA30" s="207"/>
      <c r="AB30" s="208"/>
    </row>
    <row r="31" spans="1:28">
      <c r="A31" s="206"/>
      <c r="B31" s="207"/>
      <c r="C31" s="207"/>
      <c r="D31" s="207"/>
      <c r="E31" s="207"/>
      <c r="F31" s="207"/>
      <c r="G31" s="207"/>
      <c r="H31" s="207"/>
      <c r="I31" s="207"/>
      <c r="J31" s="207"/>
      <c r="K31" s="207"/>
      <c r="L31" s="207"/>
      <c r="M31" s="207"/>
      <c r="N31" s="207"/>
      <c r="O31" s="207"/>
      <c r="P31" s="207"/>
      <c r="Q31" s="207"/>
      <c r="R31" s="207"/>
      <c r="S31" s="207"/>
      <c r="T31" s="207"/>
      <c r="U31" s="207"/>
      <c r="V31" s="207"/>
      <c r="W31" s="207"/>
      <c r="X31" s="207"/>
      <c r="Y31" s="207"/>
      <c r="Z31" s="207"/>
      <c r="AA31" s="207"/>
      <c r="AB31" s="208"/>
    </row>
    <row r="32" spans="1:28">
      <c r="A32" s="206"/>
      <c r="B32" s="207"/>
      <c r="C32" s="207"/>
      <c r="D32" s="207"/>
      <c r="E32" s="207"/>
      <c r="F32" s="207"/>
      <c r="G32" s="207"/>
      <c r="H32" s="207"/>
      <c r="I32" s="207"/>
      <c r="J32" s="207"/>
      <c r="K32" s="207"/>
      <c r="L32" s="207"/>
      <c r="M32" s="207"/>
      <c r="N32" s="207"/>
      <c r="O32" s="207"/>
      <c r="P32" s="207"/>
      <c r="Q32" s="207"/>
      <c r="R32" s="207"/>
      <c r="S32" s="207"/>
      <c r="T32" s="207"/>
      <c r="U32" s="207"/>
      <c r="V32" s="207"/>
      <c r="W32" s="207"/>
      <c r="X32" s="207"/>
      <c r="Y32" s="207"/>
      <c r="Z32" s="207"/>
      <c r="AA32" s="207"/>
      <c r="AB32" s="208"/>
    </row>
    <row r="33" spans="1:28">
      <c r="A33" s="206"/>
      <c r="B33" s="207"/>
      <c r="C33" s="207"/>
      <c r="D33" s="207"/>
      <c r="E33" s="207"/>
      <c r="F33" s="207"/>
      <c r="G33" s="207"/>
      <c r="H33" s="207"/>
      <c r="I33" s="207"/>
      <c r="J33" s="207"/>
      <c r="K33" s="207"/>
      <c r="L33" s="207"/>
      <c r="M33" s="207"/>
      <c r="N33" s="207"/>
      <c r="O33" s="207"/>
      <c r="P33" s="207"/>
      <c r="Q33" s="207"/>
      <c r="R33" s="207"/>
      <c r="S33" s="207"/>
      <c r="T33" s="207"/>
      <c r="U33" s="207"/>
      <c r="V33" s="207"/>
      <c r="W33" s="207"/>
      <c r="X33" s="207"/>
      <c r="Y33" s="207"/>
      <c r="Z33" s="207"/>
      <c r="AA33" s="207"/>
      <c r="AB33" s="208"/>
    </row>
    <row r="34" spans="1:28">
      <c r="A34" s="206"/>
      <c r="B34" s="207"/>
      <c r="C34" s="207"/>
      <c r="D34" s="207"/>
      <c r="E34" s="207"/>
      <c r="F34" s="207"/>
      <c r="G34" s="207"/>
      <c r="H34" s="207"/>
      <c r="I34" s="207"/>
      <c r="J34" s="207"/>
      <c r="K34" s="207"/>
      <c r="L34" s="207"/>
      <c r="M34" s="207"/>
      <c r="N34" s="207"/>
      <c r="O34" s="207"/>
      <c r="P34" s="207"/>
      <c r="Q34" s="207"/>
      <c r="R34" s="207"/>
      <c r="S34" s="207"/>
      <c r="T34" s="207"/>
      <c r="U34" s="207"/>
      <c r="V34" s="207"/>
      <c r="W34" s="207"/>
      <c r="X34" s="207"/>
      <c r="Y34" s="207"/>
      <c r="Z34" s="207"/>
      <c r="AA34" s="207"/>
      <c r="AB34" s="208"/>
    </row>
    <row r="35" spans="1:28">
      <c r="A35" s="206"/>
      <c r="B35" s="207"/>
      <c r="C35" s="207"/>
      <c r="D35" s="207"/>
      <c r="E35" s="207"/>
      <c r="F35" s="207"/>
      <c r="G35" s="207"/>
      <c r="H35" s="207"/>
      <c r="I35" s="207"/>
      <c r="J35" s="207"/>
      <c r="K35" s="207"/>
      <c r="L35" s="207"/>
      <c r="M35" s="207"/>
      <c r="N35" s="207"/>
      <c r="O35" s="207"/>
      <c r="P35" s="207"/>
      <c r="Q35" s="207"/>
      <c r="R35" s="207"/>
      <c r="S35" s="207"/>
      <c r="T35" s="207"/>
      <c r="U35" s="207"/>
      <c r="V35" s="207"/>
      <c r="W35" s="207"/>
      <c r="X35" s="207"/>
      <c r="Y35" s="207"/>
      <c r="Z35" s="207"/>
      <c r="AA35" s="207"/>
      <c r="AB35" s="208"/>
    </row>
    <row r="36" spans="1:28">
      <c r="A36" s="206"/>
      <c r="B36" s="207"/>
      <c r="C36" s="207"/>
      <c r="D36" s="207"/>
      <c r="E36" s="207"/>
      <c r="F36" s="207"/>
      <c r="G36" s="207"/>
      <c r="H36" s="207"/>
      <c r="I36" s="207"/>
      <c r="J36" s="207"/>
      <c r="K36" s="207"/>
      <c r="L36" s="207"/>
      <c r="M36" s="207"/>
      <c r="N36" s="207"/>
      <c r="O36" s="207"/>
      <c r="P36" s="207"/>
      <c r="Q36" s="207"/>
      <c r="R36" s="207"/>
      <c r="S36" s="207"/>
      <c r="T36" s="207"/>
      <c r="U36" s="207"/>
      <c r="V36" s="207"/>
      <c r="W36" s="207"/>
      <c r="X36" s="207"/>
      <c r="Y36" s="207"/>
      <c r="Z36" s="207"/>
      <c r="AA36" s="207"/>
      <c r="AB36" s="208"/>
    </row>
    <row r="37" spans="1:28">
      <c r="A37" s="206"/>
      <c r="B37" s="207"/>
      <c r="C37" s="207"/>
      <c r="D37" s="207"/>
      <c r="E37" s="207"/>
      <c r="F37" s="207"/>
      <c r="G37" s="207"/>
      <c r="H37" s="207"/>
      <c r="I37" s="207"/>
      <c r="J37" s="207"/>
      <c r="K37" s="207"/>
      <c r="L37" s="207"/>
      <c r="M37" s="207"/>
      <c r="N37" s="207"/>
      <c r="O37" s="207"/>
      <c r="P37" s="207"/>
      <c r="Q37" s="207"/>
      <c r="R37" s="207"/>
      <c r="S37" s="207"/>
      <c r="T37" s="207"/>
      <c r="U37" s="207"/>
      <c r="V37" s="207"/>
      <c r="W37" s="207"/>
      <c r="X37" s="207"/>
      <c r="Y37" s="207"/>
      <c r="Z37" s="207"/>
      <c r="AA37" s="207"/>
      <c r="AB37" s="208"/>
    </row>
    <row r="38" spans="1:28">
      <c r="A38" s="206"/>
      <c r="B38" s="207"/>
      <c r="C38" s="207"/>
      <c r="D38" s="207"/>
      <c r="E38" s="207"/>
      <c r="F38" s="207"/>
      <c r="G38" s="207"/>
      <c r="H38" s="207"/>
      <c r="I38" s="207"/>
      <c r="J38" s="207"/>
      <c r="K38" s="207"/>
      <c r="L38" s="207"/>
      <c r="M38" s="207"/>
      <c r="N38" s="207"/>
      <c r="O38" s="207"/>
      <c r="P38" s="207"/>
      <c r="Q38" s="207"/>
      <c r="R38" s="207"/>
      <c r="S38" s="207"/>
      <c r="T38" s="207"/>
      <c r="U38" s="207"/>
      <c r="V38" s="207"/>
      <c r="W38" s="207"/>
      <c r="X38" s="207"/>
      <c r="Y38" s="207"/>
      <c r="Z38" s="207"/>
      <c r="AA38" s="207"/>
      <c r="AB38" s="208"/>
    </row>
    <row r="39" spans="1:28">
      <c r="A39" s="206"/>
      <c r="B39" s="207"/>
      <c r="C39" s="207"/>
      <c r="D39" s="207"/>
      <c r="E39" s="207"/>
      <c r="F39" s="207"/>
      <c r="G39" s="207"/>
      <c r="H39" s="207"/>
      <c r="I39" s="207"/>
      <c r="J39" s="207"/>
      <c r="K39" s="207"/>
      <c r="L39" s="207"/>
      <c r="M39" s="207"/>
      <c r="N39" s="207"/>
      <c r="O39" s="207"/>
      <c r="P39" s="207"/>
      <c r="Q39" s="207"/>
      <c r="R39" s="207"/>
      <c r="S39" s="207"/>
      <c r="T39" s="207"/>
      <c r="U39" s="207"/>
      <c r="V39" s="207"/>
      <c r="W39" s="207"/>
      <c r="X39" s="207"/>
      <c r="Y39" s="207"/>
      <c r="Z39" s="207"/>
      <c r="AA39" s="207"/>
      <c r="AB39" s="208"/>
    </row>
    <row r="40" spans="1:28">
      <c r="A40" s="206"/>
      <c r="B40" s="207"/>
      <c r="C40" s="207"/>
      <c r="D40" s="207"/>
      <c r="E40" s="207"/>
      <c r="F40" s="207"/>
      <c r="G40" s="207"/>
      <c r="H40" s="207"/>
      <c r="I40" s="207"/>
      <c r="J40" s="207"/>
      <c r="K40" s="207"/>
      <c r="L40" s="207"/>
      <c r="M40" s="207"/>
      <c r="N40" s="207"/>
      <c r="O40" s="207"/>
      <c r="P40" s="207"/>
      <c r="Q40" s="207"/>
      <c r="R40" s="207"/>
      <c r="S40" s="207"/>
      <c r="T40" s="207"/>
      <c r="U40" s="207"/>
      <c r="V40" s="207"/>
      <c r="W40" s="207"/>
      <c r="X40" s="207"/>
      <c r="Y40" s="207"/>
      <c r="Z40" s="207"/>
      <c r="AA40" s="207"/>
      <c r="AB40" s="208"/>
    </row>
    <row r="41" spans="1:28">
      <c r="A41" s="206"/>
      <c r="B41" s="207"/>
      <c r="C41" s="207"/>
      <c r="D41" s="207"/>
      <c r="E41" s="207"/>
      <c r="F41" s="207"/>
      <c r="G41" s="207"/>
      <c r="H41" s="207"/>
      <c r="I41" s="207"/>
      <c r="J41" s="207"/>
      <c r="K41" s="207"/>
      <c r="L41" s="207"/>
      <c r="M41" s="207"/>
      <c r="N41" s="207"/>
      <c r="O41" s="207"/>
      <c r="P41" s="207"/>
      <c r="Q41" s="207"/>
      <c r="R41" s="207"/>
      <c r="S41" s="207"/>
      <c r="T41" s="207"/>
      <c r="U41" s="207"/>
      <c r="V41" s="207"/>
      <c r="W41" s="207"/>
      <c r="X41" s="207"/>
      <c r="Y41" s="207"/>
      <c r="Z41" s="207"/>
      <c r="AA41" s="207"/>
      <c r="AB41" s="208"/>
    </row>
    <row r="42" spans="1:28">
      <c r="A42" s="206"/>
      <c r="B42" s="207"/>
      <c r="C42" s="207"/>
      <c r="D42" s="207"/>
      <c r="E42" s="207"/>
      <c r="F42" s="207"/>
      <c r="G42" s="207"/>
      <c r="H42" s="207"/>
      <c r="I42" s="207"/>
      <c r="J42" s="207"/>
      <c r="K42" s="207"/>
      <c r="L42" s="207"/>
      <c r="M42" s="207"/>
      <c r="N42" s="207"/>
      <c r="O42" s="207"/>
      <c r="P42" s="207"/>
      <c r="Q42" s="207"/>
      <c r="R42" s="207"/>
      <c r="S42" s="207"/>
      <c r="T42" s="207"/>
      <c r="U42" s="207"/>
      <c r="V42" s="207"/>
      <c r="W42" s="207"/>
      <c r="X42" s="207"/>
      <c r="Y42" s="207"/>
      <c r="Z42" s="207"/>
      <c r="AA42" s="207"/>
      <c r="AB42" s="208"/>
    </row>
    <row r="43" spans="1:28">
      <c r="A43" s="206"/>
      <c r="B43" s="207"/>
      <c r="C43" s="207"/>
      <c r="D43" s="207"/>
      <c r="E43" s="207"/>
      <c r="F43" s="207"/>
      <c r="G43" s="207"/>
      <c r="H43" s="207"/>
      <c r="I43" s="207"/>
      <c r="J43" s="207"/>
      <c r="K43" s="207"/>
      <c r="L43" s="207"/>
      <c r="M43" s="207"/>
      <c r="N43" s="207"/>
      <c r="O43" s="207"/>
      <c r="P43" s="207"/>
      <c r="Q43" s="207"/>
      <c r="R43" s="207"/>
      <c r="S43" s="207"/>
      <c r="T43" s="207"/>
      <c r="U43" s="207"/>
      <c r="V43" s="207"/>
      <c r="W43" s="207"/>
      <c r="X43" s="207"/>
      <c r="Y43" s="207"/>
      <c r="Z43" s="207"/>
      <c r="AA43" s="207"/>
      <c r="AB43" s="208"/>
    </row>
    <row r="44" spans="1:28">
      <c r="A44" s="206"/>
      <c r="B44" s="207"/>
      <c r="C44" s="207"/>
      <c r="D44" s="207"/>
      <c r="E44" s="207"/>
      <c r="F44" s="207"/>
      <c r="G44" s="207"/>
      <c r="H44" s="207"/>
      <c r="I44" s="207"/>
      <c r="J44" s="207"/>
      <c r="K44" s="207"/>
      <c r="L44" s="207"/>
      <c r="M44" s="207"/>
      <c r="N44" s="207"/>
      <c r="O44" s="207"/>
      <c r="P44" s="207"/>
      <c r="Q44" s="207"/>
      <c r="R44" s="207"/>
      <c r="S44" s="207"/>
      <c r="T44" s="207"/>
      <c r="U44" s="207"/>
      <c r="V44" s="207"/>
      <c r="W44" s="207"/>
      <c r="X44" s="207"/>
      <c r="Y44" s="207"/>
      <c r="Z44" s="207"/>
      <c r="AA44" s="207"/>
      <c r="AB44" s="208"/>
    </row>
    <row r="45" spans="1:28">
      <c r="A45" s="206"/>
      <c r="B45" s="207"/>
      <c r="C45" s="207"/>
      <c r="D45" s="207"/>
      <c r="E45" s="207"/>
      <c r="F45" s="207"/>
      <c r="G45" s="207"/>
      <c r="H45" s="207"/>
      <c r="I45" s="207"/>
      <c r="J45" s="207"/>
      <c r="K45" s="207"/>
      <c r="L45" s="207"/>
      <c r="M45" s="207"/>
      <c r="N45" s="207"/>
      <c r="O45" s="207"/>
      <c r="P45" s="207"/>
      <c r="Q45" s="207"/>
      <c r="R45" s="207"/>
      <c r="S45" s="207"/>
      <c r="T45" s="207"/>
      <c r="U45" s="207"/>
      <c r="V45" s="207"/>
      <c r="W45" s="207"/>
      <c r="X45" s="207"/>
      <c r="Y45" s="207"/>
      <c r="Z45" s="207"/>
      <c r="AA45" s="207"/>
      <c r="AB45" s="208"/>
    </row>
    <row r="46" spans="1:28">
      <c r="A46" s="206"/>
      <c r="B46" s="207"/>
      <c r="C46" s="207"/>
      <c r="D46" s="207"/>
      <c r="E46" s="207"/>
      <c r="F46" s="207"/>
      <c r="G46" s="207"/>
      <c r="H46" s="207"/>
      <c r="I46" s="207"/>
      <c r="J46" s="207"/>
      <c r="K46" s="207"/>
      <c r="L46" s="207"/>
      <c r="M46" s="207"/>
      <c r="N46" s="207"/>
      <c r="O46" s="207"/>
      <c r="P46" s="207"/>
      <c r="Q46" s="207"/>
      <c r="R46" s="207"/>
      <c r="S46" s="207"/>
      <c r="T46" s="207"/>
      <c r="U46" s="207"/>
      <c r="V46" s="207"/>
      <c r="W46" s="207"/>
      <c r="X46" s="207"/>
      <c r="Y46" s="207"/>
      <c r="Z46" s="207"/>
      <c r="AA46" s="207"/>
      <c r="AB46" s="208"/>
    </row>
    <row r="47" spans="1:28">
      <c r="A47" s="206"/>
      <c r="B47" s="207"/>
      <c r="C47" s="207"/>
      <c r="D47" s="207"/>
      <c r="E47" s="207"/>
      <c r="F47" s="207"/>
      <c r="G47" s="207"/>
      <c r="H47" s="207"/>
      <c r="I47" s="207"/>
      <c r="J47" s="207"/>
      <c r="K47" s="207"/>
      <c r="L47" s="207"/>
      <c r="M47" s="207"/>
      <c r="N47" s="207"/>
      <c r="O47" s="207"/>
      <c r="P47" s="207"/>
      <c r="Q47" s="207"/>
      <c r="R47" s="207"/>
      <c r="S47" s="207"/>
      <c r="T47" s="207"/>
      <c r="U47" s="207"/>
      <c r="V47" s="207"/>
      <c r="W47" s="207"/>
      <c r="X47" s="207"/>
      <c r="Y47" s="207"/>
      <c r="Z47" s="207"/>
      <c r="AA47" s="207"/>
      <c r="AB47" s="208"/>
    </row>
    <row r="48" spans="1:28">
      <c r="A48" s="206"/>
      <c r="B48" s="207"/>
      <c r="C48" s="207"/>
      <c r="D48" s="207"/>
      <c r="E48" s="207"/>
      <c r="F48" s="207"/>
      <c r="G48" s="207"/>
      <c r="H48" s="207"/>
      <c r="I48" s="207"/>
      <c r="J48" s="207"/>
      <c r="K48" s="207"/>
      <c r="L48" s="207"/>
      <c r="M48" s="207"/>
      <c r="N48" s="207"/>
      <c r="O48" s="207"/>
      <c r="P48" s="207"/>
      <c r="Q48" s="207"/>
      <c r="R48" s="207"/>
      <c r="S48" s="207"/>
      <c r="T48" s="207"/>
      <c r="U48" s="207"/>
      <c r="V48" s="207"/>
      <c r="W48" s="207"/>
      <c r="X48" s="207"/>
      <c r="Y48" s="207"/>
      <c r="Z48" s="207"/>
      <c r="AA48" s="207"/>
      <c r="AB48" s="208"/>
    </row>
    <row r="49" spans="1:28">
      <c r="A49" s="206"/>
      <c r="B49" s="207"/>
      <c r="C49" s="207"/>
      <c r="D49" s="207"/>
      <c r="E49" s="207"/>
      <c r="F49" s="207"/>
      <c r="G49" s="207"/>
      <c r="H49" s="207"/>
      <c r="I49" s="207"/>
      <c r="J49" s="207"/>
      <c r="K49" s="207"/>
      <c r="L49" s="207"/>
      <c r="M49" s="207"/>
      <c r="N49" s="207"/>
      <c r="O49" s="207"/>
      <c r="P49" s="207"/>
      <c r="Q49" s="207"/>
      <c r="R49" s="207"/>
      <c r="S49" s="207"/>
      <c r="T49" s="207"/>
      <c r="U49" s="207"/>
      <c r="V49" s="207"/>
      <c r="W49" s="207"/>
      <c r="X49" s="207"/>
      <c r="Y49" s="207"/>
      <c r="Z49" s="207"/>
      <c r="AA49" s="207"/>
      <c r="AB49" s="208"/>
    </row>
    <row r="50" spans="1:28">
      <c r="A50" s="206"/>
      <c r="B50" s="207"/>
      <c r="C50" s="207"/>
      <c r="D50" s="207"/>
      <c r="E50" s="207"/>
      <c r="F50" s="207"/>
      <c r="G50" s="207"/>
      <c r="H50" s="207"/>
      <c r="I50" s="207"/>
      <c r="J50" s="207"/>
      <c r="K50" s="207"/>
      <c r="L50" s="207"/>
      <c r="M50" s="207"/>
      <c r="N50" s="207"/>
      <c r="O50" s="207"/>
      <c r="P50" s="207"/>
      <c r="Q50" s="207"/>
      <c r="R50" s="207"/>
      <c r="S50" s="207"/>
      <c r="T50" s="207"/>
      <c r="U50" s="207"/>
      <c r="V50" s="207"/>
      <c r="W50" s="207"/>
      <c r="X50" s="207"/>
      <c r="Y50" s="207"/>
      <c r="Z50" s="207"/>
      <c r="AA50" s="207"/>
      <c r="AB50" s="208"/>
    </row>
    <row r="51" spans="1:28">
      <c r="A51" s="206"/>
      <c r="B51" s="207"/>
      <c r="C51" s="207"/>
      <c r="D51" s="207"/>
      <c r="E51" s="207"/>
      <c r="F51" s="207"/>
      <c r="G51" s="207"/>
      <c r="H51" s="207"/>
      <c r="I51" s="207"/>
      <c r="J51" s="207"/>
      <c r="K51" s="207"/>
      <c r="L51" s="207"/>
      <c r="M51" s="207"/>
      <c r="N51" s="207"/>
      <c r="O51" s="207"/>
      <c r="P51" s="207"/>
      <c r="Q51" s="207"/>
      <c r="R51" s="207"/>
      <c r="S51" s="207"/>
      <c r="T51" s="207"/>
      <c r="U51" s="207"/>
      <c r="V51" s="207"/>
      <c r="W51" s="207"/>
      <c r="X51" s="207"/>
      <c r="Y51" s="207"/>
      <c r="Z51" s="207"/>
      <c r="AA51" s="207"/>
      <c r="AB51" s="208"/>
    </row>
    <row r="52" spans="1:28">
      <c r="A52" s="206"/>
      <c r="B52" s="207"/>
      <c r="C52" s="207"/>
      <c r="D52" s="207"/>
      <c r="E52" s="207"/>
      <c r="F52" s="207"/>
      <c r="G52" s="207"/>
      <c r="H52" s="207"/>
      <c r="I52" s="207"/>
      <c r="J52" s="207"/>
      <c r="K52" s="207"/>
      <c r="L52" s="207"/>
      <c r="M52" s="207"/>
      <c r="N52" s="207"/>
      <c r="O52" s="207"/>
      <c r="P52" s="207"/>
      <c r="Q52" s="207"/>
      <c r="R52" s="207"/>
      <c r="S52" s="207"/>
      <c r="T52" s="207"/>
      <c r="U52" s="207"/>
      <c r="V52" s="207"/>
      <c r="W52" s="207"/>
      <c r="X52" s="207"/>
      <c r="Y52" s="207"/>
      <c r="Z52" s="207"/>
      <c r="AA52" s="207"/>
      <c r="AB52" s="208"/>
    </row>
    <row r="53" spans="1:28">
      <c r="A53" s="206"/>
      <c r="B53" s="207"/>
      <c r="C53" s="207"/>
      <c r="D53" s="207"/>
      <c r="E53" s="207"/>
      <c r="F53" s="207"/>
      <c r="G53" s="207"/>
      <c r="H53" s="207"/>
      <c r="I53" s="207"/>
      <c r="J53" s="207"/>
      <c r="K53" s="207"/>
      <c r="L53" s="207"/>
      <c r="M53" s="207"/>
      <c r="N53" s="207"/>
      <c r="O53" s="207"/>
      <c r="P53" s="207"/>
      <c r="Q53" s="207"/>
      <c r="R53" s="207"/>
      <c r="S53" s="207"/>
      <c r="T53" s="207"/>
      <c r="U53" s="207"/>
      <c r="V53" s="207"/>
      <c r="W53" s="207"/>
      <c r="X53" s="207"/>
      <c r="Y53" s="207"/>
      <c r="Z53" s="207"/>
      <c r="AA53" s="207"/>
      <c r="AB53" s="208"/>
    </row>
    <row r="54" spans="1:28">
      <c r="A54" s="206"/>
      <c r="B54" s="207"/>
      <c r="C54" s="207"/>
      <c r="D54" s="207"/>
      <c r="E54" s="207"/>
      <c r="F54" s="207"/>
      <c r="G54" s="207"/>
      <c r="H54" s="207"/>
      <c r="I54" s="207"/>
      <c r="J54" s="207"/>
      <c r="K54" s="207"/>
      <c r="L54" s="207"/>
      <c r="M54" s="207"/>
      <c r="N54" s="207"/>
      <c r="O54" s="207"/>
      <c r="P54" s="207"/>
      <c r="Q54" s="207"/>
      <c r="R54" s="207"/>
      <c r="S54" s="207"/>
      <c r="T54" s="207"/>
      <c r="U54" s="207"/>
      <c r="V54" s="207"/>
      <c r="W54" s="207"/>
      <c r="X54" s="207"/>
      <c r="Y54" s="207"/>
      <c r="Z54" s="207"/>
      <c r="AA54" s="207"/>
      <c r="AB54" s="208"/>
    </row>
    <row r="55" spans="1:28">
      <c r="A55" s="206"/>
      <c r="B55" s="207"/>
      <c r="C55" s="207"/>
      <c r="D55" s="207"/>
      <c r="E55" s="207"/>
      <c r="F55" s="207"/>
      <c r="G55" s="207"/>
      <c r="H55" s="207"/>
      <c r="I55" s="207"/>
      <c r="J55" s="207"/>
      <c r="K55" s="207"/>
      <c r="L55" s="207"/>
      <c r="M55" s="207"/>
      <c r="N55" s="207"/>
      <c r="O55" s="207"/>
      <c r="P55" s="207"/>
      <c r="Q55" s="207"/>
      <c r="R55" s="207"/>
      <c r="S55" s="207"/>
      <c r="T55" s="207"/>
      <c r="U55" s="207"/>
      <c r="V55" s="207"/>
      <c r="W55" s="207"/>
      <c r="X55" s="207"/>
      <c r="Y55" s="207"/>
      <c r="Z55" s="207"/>
      <c r="AA55" s="207"/>
      <c r="AB55" s="208"/>
    </row>
    <row r="56" spans="1:28">
      <c r="A56" s="206"/>
      <c r="B56" s="207"/>
      <c r="C56" s="207"/>
      <c r="D56" s="207"/>
      <c r="E56" s="207"/>
      <c r="F56" s="207"/>
      <c r="G56" s="207"/>
      <c r="H56" s="207"/>
      <c r="I56" s="207"/>
      <c r="J56" s="207"/>
      <c r="K56" s="207"/>
      <c r="L56" s="207"/>
      <c r="M56" s="207"/>
      <c r="N56" s="207"/>
      <c r="O56" s="207"/>
      <c r="P56" s="207"/>
      <c r="Q56" s="207"/>
      <c r="R56" s="207"/>
      <c r="S56" s="207"/>
      <c r="T56" s="207"/>
      <c r="U56" s="207"/>
      <c r="V56" s="207"/>
      <c r="W56" s="207"/>
      <c r="X56" s="207"/>
      <c r="Y56" s="207"/>
      <c r="Z56" s="207"/>
      <c r="AA56" s="207"/>
      <c r="AB56" s="208"/>
    </row>
    <row r="57" spans="1:28">
      <c r="A57" s="206"/>
      <c r="B57" s="207"/>
      <c r="C57" s="207"/>
      <c r="D57" s="207"/>
      <c r="E57" s="207"/>
      <c r="F57" s="207"/>
      <c r="G57" s="207"/>
      <c r="H57" s="207"/>
      <c r="I57" s="207"/>
      <c r="J57" s="207"/>
      <c r="K57" s="207"/>
      <c r="L57" s="207"/>
      <c r="M57" s="207"/>
      <c r="N57" s="207"/>
      <c r="O57" s="207"/>
      <c r="P57" s="207"/>
      <c r="Q57" s="207"/>
      <c r="R57" s="207"/>
      <c r="S57" s="207"/>
      <c r="T57" s="207"/>
      <c r="U57" s="207"/>
      <c r="V57" s="207"/>
      <c r="W57" s="207"/>
      <c r="X57" s="207"/>
      <c r="Y57" s="207"/>
      <c r="Z57" s="207"/>
      <c r="AA57" s="207"/>
      <c r="AB57" s="208"/>
    </row>
    <row r="58" spans="1:28">
      <c r="A58" s="206"/>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c r="AA58" s="207"/>
      <c r="AB58" s="208"/>
    </row>
    <row r="59" spans="1:28">
      <c r="A59" s="206"/>
      <c r="B59" s="207"/>
      <c r="C59" s="207"/>
      <c r="D59" s="207"/>
      <c r="E59" s="207"/>
      <c r="F59" s="207"/>
      <c r="G59" s="207"/>
      <c r="H59" s="207"/>
      <c r="I59" s="207"/>
      <c r="J59" s="207"/>
      <c r="K59" s="207"/>
      <c r="L59" s="207"/>
      <c r="M59" s="207"/>
      <c r="N59" s="207"/>
      <c r="O59" s="207"/>
      <c r="P59" s="207"/>
      <c r="Q59" s="207"/>
      <c r="R59" s="207"/>
      <c r="S59" s="207"/>
      <c r="T59" s="207"/>
      <c r="U59" s="207"/>
      <c r="V59" s="207"/>
      <c r="W59" s="207"/>
      <c r="X59" s="207"/>
      <c r="Y59" s="207"/>
      <c r="Z59" s="207"/>
      <c r="AA59" s="207"/>
      <c r="AB59" s="208"/>
    </row>
    <row r="60" spans="1:28">
      <c r="A60" s="206"/>
      <c r="B60" s="207"/>
      <c r="C60" s="207"/>
      <c r="D60" s="207"/>
      <c r="E60" s="207"/>
      <c r="F60" s="207"/>
      <c r="G60" s="207"/>
      <c r="H60" s="207"/>
      <c r="I60" s="207"/>
      <c r="J60" s="207"/>
      <c r="K60" s="207"/>
      <c r="L60" s="207"/>
      <c r="M60" s="207"/>
      <c r="N60" s="207"/>
      <c r="O60" s="207"/>
      <c r="P60" s="207"/>
      <c r="Q60" s="207"/>
      <c r="R60" s="207"/>
      <c r="S60" s="207"/>
      <c r="T60" s="207"/>
      <c r="U60" s="207"/>
      <c r="V60" s="207"/>
      <c r="W60" s="207"/>
      <c r="X60" s="207"/>
      <c r="Y60" s="207"/>
      <c r="Z60" s="207"/>
      <c r="AA60" s="207"/>
      <c r="AB60" s="208"/>
    </row>
    <row r="61" spans="1:28">
      <c r="A61" s="206"/>
      <c r="B61" s="207"/>
      <c r="C61" s="207"/>
      <c r="D61" s="207"/>
      <c r="E61" s="207"/>
      <c r="F61" s="207"/>
      <c r="G61" s="207"/>
      <c r="H61" s="207"/>
      <c r="I61" s="207"/>
      <c r="J61" s="207"/>
      <c r="K61" s="207"/>
      <c r="L61" s="207"/>
      <c r="M61" s="207"/>
      <c r="N61" s="207"/>
      <c r="O61" s="207"/>
      <c r="P61" s="207"/>
      <c r="Q61" s="207"/>
      <c r="R61" s="207"/>
      <c r="S61" s="207"/>
      <c r="T61" s="207"/>
      <c r="U61" s="207"/>
      <c r="V61" s="207"/>
      <c r="W61" s="207"/>
      <c r="X61" s="207"/>
      <c r="Y61" s="207"/>
      <c r="Z61" s="207"/>
      <c r="AA61" s="207"/>
      <c r="AB61" s="208"/>
    </row>
    <row r="62" spans="1:28">
      <c r="A62" s="206"/>
      <c r="B62" s="207"/>
      <c r="C62" s="207"/>
      <c r="D62" s="207"/>
      <c r="E62" s="207"/>
      <c r="F62" s="207"/>
      <c r="G62" s="207"/>
      <c r="H62" s="207"/>
      <c r="I62" s="207"/>
      <c r="J62" s="207"/>
      <c r="K62" s="207"/>
      <c r="L62" s="207"/>
      <c r="M62" s="207"/>
      <c r="N62" s="207"/>
      <c r="O62" s="207"/>
      <c r="P62" s="207"/>
      <c r="Q62" s="207"/>
      <c r="R62" s="207"/>
      <c r="S62" s="207"/>
      <c r="T62" s="207"/>
      <c r="U62" s="207"/>
      <c r="V62" s="207"/>
      <c r="W62" s="207"/>
      <c r="X62" s="207"/>
      <c r="Y62" s="207"/>
      <c r="Z62" s="207"/>
      <c r="AA62" s="207"/>
      <c r="AB62" s="208"/>
    </row>
    <row r="63" spans="1:28">
      <c r="A63" s="206"/>
      <c r="B63" s="207"/>
      <c r="C63" s="207"/>
      <c r="D63" s="207"/>
      <c r="E63" s="207"/>
      <c r="F63" s="207"/>
      <c r="G63" s="207"/>
      <c r="H63" s="207"/>
      <c r="I63" s="207"/>
      <c r="J63" s="207"/>
      <c r="K63" s="207"/>
      <c r="L63" s="207"/>
      <c r="M63" s="207"/>
      <c r="N63" s="207"/>
      <c r="O63" s="207"/>
      <c r="P63" s="207"/>
      <c r="Q63" s="207"/>
      <c r="R63" s="207"/>
      <c r="S63" s="207"/>
      <c r="T63" s="207"/>
      <c r="U63" s="207"/>
      <c r="V63" s="207"/>
      <c r="W63" s="207"/>
      <c r="X63" s="207"/>
      <c r="Y63" s="207"/>
      <c r="Z63" s="207"/>
      <c r="AA63" s="207"/>
      <c r="AB63" s="208"/>
    </row>
    <row r="64" spans="1:28">
      <c r="A64" s="206"/>
      <c r="B64" s="207"/>
      <c r="C64" s="207"/>
      <c r="D64" s="207"/>
      <c r="E64" s="207"/>
      <c r="F64" s="207"/>
      <c r="G64" s="207"/>
      <c r="H64" s="207"/>
      <c r="I64" s="207"/>
      <c r="J64" s="207"/>
      <c r="K64" s="207"/>
      <c r="L64" s="207"/>
      <c r="M64" s="207"/>
      <c r="N64" s="207"/>
      <c r="O64" s="207"/>
      <c r="P64" s="207"/>
      <c r="Q64" s="207"/>
      <c r="R64" s="207"/>
      <c r="S64" s="207"/>
      <c r="T64" s="207"/>
      <c r="U64" s="207"/>
      <c r="V64" s="207"/>
      <c r="W64" s="207"/>
      <c r="X64" s="207"/>
      <c r="Y64" s="207"/>
      <c r="Z64" s="207"/>
      <c r="AA64" s="207"/>
      <c r="AB64" s="208"/>
    </row>
    <row r="65" spans="1:28">
      <c r="A65" s="206"/>
      <c r="B65" s="207"/>
      <c r="C65" s="207"/>
      <c r="D65" s="207"/>
      <c r="E65" s="207"/>
      <c r="F65" s="207"/>
      <c r="G65" s="207"/>
      <c r="H65" s="207"/>
      <c r="I65" s="207"/>
      <c r="J65" s="207"/>
      <c r="K65" s="207"/>
      <c r="L65" s="207"/>
      <c r="M65" s="207"/>
      <c r="N65" s="207"/>
      <c r="O65" s="207"/>
      <c r="P65" s="207"/>
      <c r="Q65" s="207"/>
      <c r="R65" s="207"/>
      <c r="S65" s="207"/>
      <c r="T65" s="207"/>
      <c r="U65" s="207"/>
      <c r="V65" s="207"/>
      <c r="W65" s="207"/>
      <c r="X65" s="207"/>
      <c r="Y65" s="207"/>
      <c r="Z65" s="207"/>
      <c r="AA65" s="207"/>
      <c r="AB65" s="208"/>
    </row>
    <row r="66" spans="1:28">
      <c r="A66" s="206"/>
      <c r="B66" s="207"/>
      <c r="C66" s="207"/>
      <c r="D66" s="207"/>
      <c r="E66" s="207"/>
      <c r="F66" s="207"/>
      <c r="G66" s="207"/>
      <c r="H66" s="207"/>
      <c r="I66" s="207"/>
      <c r="J66" s="207"/>
      <c r="K66" s="207"/>
      <c r="L66" s="207"/>
      <c r="M66" s="207"/>
      <c r="N66" s="207"/>
      <c r="O66" s="207"/>
      <c r="P66" s="207"/>
      <c r="Q66" s="207"/>
      <c r="R66" s="207"/>
      <c r="S66" s="207"/>
      <c r="T66" s="207"/>
      <c r="U66" s="207"/>
      <c r="V66" s="207"/>
      <c r="W66" s="207"/>
      <c r="X66" s="207"/>
      <c r="Y66" s="207"/>
      <c r="Z66" s="207"/>
      <c r="AA66" s="207"/>
      <c r="AB66" s="208"/>
    </row>
    <row r="67" spans="1:28" ht="15" thickBot="1">
      <c r="A67" s="209"/>
      <c r="B67" s="210"/>
      <c r="C67" s="210"/>
      <c r="D67" s="210"/>
      <c r="E67" s="210"/>
      <c r="F67" s="210"/>
      <c r="G67" s="210"/>
      <c r="H67" s="210"/>
      <c r="I67" s="210"/>
      <c r="J67" s="210"/>
      <c r="K67" s="210"/>
      <c r="L67" s="210"/>
      <c r="M67" s="210"/>
      <c r="N67" s="210"/>
      <c r="O67" s="210"/>
      <c r="P67" s="210"/>
      <c r="Q67" s="210"/>
      <c r="R67" s="210"/>
      <c r="S67" s="210"/>
      <c r="T67" s="210"/>
      <c r="U67" s="210"/>
      <c r="V67" s="210"/>
      <c r="W67" s="210"/>
      <c r="X67" s="210"/>
      <c r="Y67" s="210"/>
      <c r="Z67" s="210"/>
      <c r="AA67" s="210"/>
      <c r="AB67" s="211"/>
    </row>
    <row r="126" spans="1:2">
      <c r="A126" s="198" t="s">
        <v>240</v>
      </c>
      <c r="B126" t="s">
        <v>247</v>
      </c>
    </row>
    <row r="127" spans="1:2">
      <c r="A127" s="62">
        <v>8</v>
      </c>
      <c r="B127" s="203">
        <v>479225.95559999999</v>
      </c>
    </row>
    <row r="128" spans="1:2">
      <c r="A128" s="62">
        <v>16</v>
      </c>
      <c r="B128" s="203">
        <v>398136.05950000003</v>
      </c>
    </row>
    <row r="129" spans="1:3">
      <c r="A129" s="62">
        <v>20</v>
      </c>
      <c r="B129" s="203">
        <v>317154.66750000004</v>
      </c>
    </row>
    <row r="130" spans="1:3">
      <c r="A130" s="62">
        <v>12</v>
      </c>
      <c r="B130" s="203">
        <v>238683.36299999998</v>
      </c>
    </row>
    <row r="131" spans="1:3">
      <c r="A131" s="62">
        <v>10</v>
      </c>
      <c r="B131" s="203">
        <v>83423.183999999979</v>
      </c>
    </row>
    <row r="132" spans="1:3">
      <c r="A132" s="62" t="s">
        <v>241</v>
      </c>
      <c r="B132" s="203">
        <v>1516623.2296000002</v>
      </c>
    </row>
    <row r="136" spans="1:3">
      <c r="A136" s="198" t="s">
        <v>240</v>
      </c>
      <c r="B136" t="s">
        <v>248</v>
      </c>
      <c r="C136" t="s">
        <v>246</v>
      </c>
    </row>
    <row r="137" spans="1:3">
      <c r="A137" s="62" t="s">
        <v>223</v>
      </c>
      <c r="B137" s="202">
        <v>336000</v>
      </c>
      <c r="C137" s="202">
        <v>321093.90000000002</v>
      </c>
    </row>
    <row r="138" spans="1:3">
      <c r="A138" s="62" t="s">
        <v>225</v>
      </c>
      <c r="B138" s="202">
        <v>196000</v>
      </c>
      <c r="C138" s="202">
        <v>177734.55</v>
      </c>
    </row>
    <row r="139" spans="1:3">
      <c r="A139" s="62" t="s">
        <v>227</v>
      </c>
      <c r="B139" s="202">
        <v>392000</v>
      </c>
      <c r="C139" s="202">
        <v>335169.45</v>
      </c>
    </row>
    <row r="140" spans="1:3">
      <c r="A140" s="62" t="s">
        <v>229</v>
      </c>
      <c r="B140" s="202">
        <v>336000</v>
      </c>
      <c r="C140" s="202">
        <v>277118.7</v>
      </c>
    </row>
    <row r="141" spans="1:3">
      <c r="A141" s="62" t="s">
        <v>241</v>
      </c>
      <c r="B141" s="202">
        <v>1260000</v>
      </c>
      <c r="C141" s="202">
        <v>1111116.6000000001</v>
      </c>
    </row>
  </sheetData>
  <mergeCells count="17">
    <mergeCell ref="S5:S6"/>
    <mergeCell ref="A1:AB4"/>
    <mergeCell ref="A5:A6"/>
    <mergeCell ref="B5:B6"/>
    <mergeCell ref="E5:H6"/>
    <mergeCell ref="D5:D6"/>
    <mergeCell ref="C5:C6"/>
    <mergeCell ref="T5:T6"/>
    <mergeCell ref="Z5:AB6"/>
    <mergeCell ref="I5:I6"/>
    <mergeCell ref="U5:Y6"/>
    <mergeCell ref="O5:O6"/>
    <mergeCell ref="P5:P6"/>
    <mergeCell ref="Q5:Q6"/>
    <mergeCell ref="J5:K6"/>
    <mergeCell ref="L5:N6"/>
    <mergeCell ref="R5:R6"/>
  </mergeCell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434B2-5629-4BA7-B973-17119A385912}">
  <sheetPr>
    <pageSetUpPr fitToPage="1"/>
  </sheetPr>
  <dimension ref="A1:V108"/>
  <sheetViews>
    <sheetView showGridLines="0" topLeftCell="A24" zoomScale="72" zoomScaleNormal="70" workbookViewId="0">
      <selection activeCell="V26" sqref="V26"/>
    </sheetView>
  </sheetViews>
  <sheetFormatPr defaultRowHeight="14.4" outlineLevelRow="1"/>
  <cols>
    <col min="1" max="1" width="38.6640625" customWidth="1"/>
    <col min="2" max="2" width="18.109375" customWidth="1"/>
    <col min="3" max="12" width="18" customWidth="1"/>
    <col min="13" max="13" width="19.109375" customWidth="1"/>
    <col min="14" max="17" width="18" customWidth="1"/>
    <col min="18" max="18" width="19.88671875" customWidth="1"/>
    <col min="19" max="21" width="18" customWidth="1"/>
  </cols>
  <sheetData>
    <row r="1" spans="1:21" ht="15" thickBot="1">
      <c r="A1" s="1" t="s">
        <v>0</v>
      </c>
      <c r="B1" s="2" t="s">
        <v>1</v>
      </c>
    </row>
    <row r="2" spans="1:21">
      <c r="A2" s="3" t="s">
        <v>2</v>
      </c>
      <c r="B2" s="4">
        <v>45931</v>
      </c>
      <c r="C2" s="4">
        <v>45962</v>
      </c>
      <c r="D2" s="4">
        <v>45992</v>
      </c>
      <c r="E2" s="4">
        <v>46023</v>
      </c>
      <c r="F2" s="4">
        <v>46054</v>
      </c>
      <c r="G2" s="4">
        <v>46082</v>
      </c>
      <c r="H2" s="4">
        <v>46113</v>
      </c>
      <c r="I2" s="4">
        <v>46143</v>
      </c>
      <c r="J2" s="4">
        <v>46174</v>
      </c>
      <c r="K2" s="4">
        <v>46204</v>
      </c>
      <c r="L2" s="4">
        <v>46235</v>
      </c>
      <c r="M2" s="4">
        <v>46266</v>
      </c>
      <c r="N2" s="4">
        <v>46296</v>
      </c>
      <c r="O2" s="4">
        <v>46327</v>
      </c>
      <c r="P2" s="4">
        <v>46357</v>
      </c>
      <c r="Q2" s="4">
        <v>46388</v>
      </c>
      <c r="R2" s="4">
        <v>46419</v>
      </c>
      <c r="S2" s="4">
        <v>46447</v>
      </c>
      <c r="T2" s="4">
        <v>46478</v>
      </c>
      <c r="U2" s="4">
        <v>46508</v>
      </c>
    </row>
    <row r="3" spans="1:21" ht="29.25" customHeight="1">
      <c r="A3" s="5" t="s">
        <v>3</v>
      </c>
      <c r="B3" s="6">
        <f>'Cash Flow - Forecast'!F26</f>
        <v>6485619.2326947041</v>
      </c>
      <c r="C3" s="6">
        <f>'Cash Flow - Forecast'!G26</f>
        <v>8564401.2326947041</v>
      </c>
      <c r="D3" s="6">
        <f>'Cash Flow - Forecast'!H26</f>
        <v>5975619.232694705</v>
      </c>
      <c r="E3" s="6">
        <f>'Cash Flow - Forecast'!I26</f>
        <v>5975619.232694705</v>
      </c>
      <c r="F3" s="6">
        <f>'Cash Flow - Forecast'!J26</f>
        <v>5975619.232694705</v>
      </c>
      <c r="G3" s="6">
        <f>'Cash Flow - Forecast'!K26</f>
        <v>5975619.232694705</v>
      </c>
      <c r="H3" s="6">
        <f>'Cash Flow - Forecast'!L26</f>
        <v>5975619.232694705</v>
      </c>
      <c r="I3" s="6">
        <f>'Cash Flow - Forecast'!M26</f>
        <v>5975619.232694705</v>
      </c>
      <c r="J3" s="6">
        <f>'Cash Flow - Forecast'!N26</f>
        <v>5975619.232694705</v>
      </c>
      <c r="K3" s="6">
        <f>'Cash Flow - Forecast'!O26</f>
        <v>5975619.232694705</v>
      </c>
      <c r="L3" s="6">
        <f>'Cash Flow - Forecast'!P26</f>
        <v>5975619.232694705</v>
      </c>
      <c r="M3" s="6">
        <f>'Cash Flow - Forecast'!Q26</f>
        <v>5975619.232694705</v>
      </c>
      <c r="N3" s="6">
        <f>'Cash Flow - Forecast'!R26</f>
        <v>5975619.232694705</v>
      </c>
      <c r="O3" s="6">
        <f>'Cash Flow - Forecast'!S26</f>
        <v>5975619.232694705</v>
      </c>
      <c r="P3" s="6">
        <f>'Cash Flow - Forecast'!T26</f>
        <v>5975619.232694705</v>
      </c>
      <c r="Q3" s="6">
        <f>'Cash Flow - Forecast'!U26</f>
        <v>5975619.232694705</v>
      </c>
      <c r="R3" s="6">
        <f>'Cash Flow - Forecast'!V26</f>
        <v>5975619.232694705</v>
      </c>
      <c r="S3" s="7"/>
      <c r="T3" s="8"/>
      <c r="U3" s="8"/>
    </row>
    <row r="4" spans="1:21">
      <c r="A4" s="9" t="s">
        <v>4</v>
      </c>
      <c r="B4" s="2" t="s">
        <v>5</v>
      </c>
      <c r="C4" s="10"/>
      <c r="D4" s="10"/>
      <c r="E4" s="10"/>
      <c r="F4" s="10"/>
      <c r="G4" s="10"/>
      <c r="H4" s="10"/>
      <c r="I4" s="10"/>
      <c r="J4" s="10"/>
      <c r="K4" s="10"/>
      <c r="L4" s="10"/>
      <c r="M4" s="10"/>
      <c r="N4" s="10"/>
      <c r="O4" s="10"/>
      <c r="P4" s="10"/>
      <c r="Q4" s="10"/>
      <c r="R4" s="10"/>
      <c r="S4" s="10"/>
      <c r="T4" s="10"/>
      <c r="U4" s="10"/>
    </row>
    <row r="5" spans="1:21" ht="15" thickBot="1">
      <c r="A5" s="5" t="s">
        <v>244</v>
      </c>
      <c r="B5" s="199">
        <v>0.9</v>
      </c>
      <c r="C5" s="199">
        <v>0.9</v>
      </c>
      <c r="D5" s="199">
        <v>1</v>
      </c>
      <c r="E5" s="199">
        <v>0.9</v>
      </c>
      <c r="F5" s="199">
        <f>F24/F3</f>
        <v>0</v>
      </c>
      <c r="G5" s="199">
        <f t="shared" ref="G5:U5" si="0">G24/G3</f>
        <v>0</v>
      </c>
      <c r="H5" s="199">
        <f t="shared" si="0"/>
        <v>0</v>
      </c>
      <c r="I5" s="199">
        <f t="shared" si="0"/>
        <v>0</v>
      </c>
      <c r="J5" s="199">
        <f t="shared" si="0"/>
        <v>0</v>
      </c>
      <c r="K5" s="199">
        <f t="shared" si="0"/>
        <v>0</v>
      </c>
      <c r="L5" s="199">
        <f t="shared" si="0"/>
        <v>0</v>
      </c>
      <c r="M5" s="199">
        <f t="shared" si="0"/>
        <v>0</v>
      </c>
      <c r="N5" s="199">
        <f t="shared" si="0"/>
        <v>0</v>
      </c>
      <c r="O5" s="199">
        <f t="shared" si="0"/>
        <v>0</v>
      </c>
      <c r="P5" s="199">
        <f t="shared" si="0"/>
        <v>0</v>
      </c>
      <c r="Q5" s="199">
        <f t="shared" si="0"/>
        <v>0</v>
      </c>
      <c r="R5" s="199">
        <f t="shared" si="0"/>
        <v>0</v>
      </c>
      <c r="S5" s="199" t="e">
        <f t="shared" si="0"/>
        <v>#DIV/0!</v>
      </c>
      <c r="T5" s="199" t="e">
        <f t="shared" si="0"/>
        <v>#DIV/0!</v>
      </c>
      <c r="U5" s="199" t="e">
        <f t="shared" si="0"/>
        <v>#DIV/0!</v>
      </c>
    </row>
    <row r="6" spans="1:21" ht="15" thickBot="1">
      <c r="A6" s="241" t="s">
        <v>6</v>
      </c>
      <c r="B6" s="243" t="s">
        <v>7</v>
      </c>
      <c r="C6" s="244"/>
      <c r="D6" s="244"/>
      <c r="E6" s="244"/>
      <c r="F6" s="244"/>
      <c r="G6" s="244"/>
      <c r="H6" s="244"/>
      <c r="I6" s="244"/>
      <c r="J6" s="244"/>
      <c r="K6" s="244"/>
      <c r="L6" s="244"/>
      <c r="M6" s="244"/>
      <c r="N6" s="244"/>
      <c r="O6" s="244"/>
      <c r="P6" s="244"/>
      <c r="Q6" s="244"/>
      <c r="R6" s="244"/>
      <c r="S6" s="244"/>
      <c r="T6" s="244"/>
      <c r="U6" s="244"/>
    </row>
    <row r="7" spans="1:21">
      <c r="A7" s="242"/>
      <c r="B7" s="4">
        <v>45931</v>
      </c>
      <c r="C7" s="4">
        <v>45962</v>
      </c>
      <c r="D7" s="4">
        <v>45992</v>
      </c>
      <c r="E7" s="4">
        <v>46023</v>
      </c>
      <c r="F7" s="4">
        <v>46054</v>
      </c>
      <c r="G7" s="4">
        <v>46082</v>
      </c>
      <c r="H7" s="4">
        <v>46113</v>
      </c>
      <c r="I7" s="4">
        <v>46143</v>
      </c>
      <c r="J7" s="4">
        <v>46174</v>
      </c>
      <c r="K7" s="4">
        <v>46204</v>
      </c>
      <c r="L7" s="4">
        <v>46235</v>
      </c>
      <c r="M7" s="4">
        <v>46266</v>
      </c>
      <c r="N7" s="4">
        <v>46296</v>
      </c>
      <c r="O7" s="4">
        <v>46327</v>
      </c>
      <c r="P7" s="4">
        <v>46357</v>
      </c>
      <c r="Q7" s="4">
        <v>46388</v>
      </c>
      <c r="R7" s="4">
        <v>46419</v>
      </c>
      <c r="S7" s="4">
        <v>46447</v>
      </c>
      <c r="T7" s="4">
        <v>46478</v>
      </c>
      <c r="U7" s="4">
        <v>46508</v>
      </c>
    </row>
    <row r="8" spans="1:21">
      <c r="A8" s="11" t="s">
        <v>101</v>
      </c>
      <c r="B8" s="83">
        <v>100000</v>
      </c>
      <c r="C8" s="83">
        <v>100000</v>
      </c>
      <c r="D8" s="83">
        <v>100000</v>
      </c>
      <c r="E8" s="83">
        <v>100000</v>
      </c>
      <c r="F8" s="83"/>
      <c r="G8" s="83"/>
      <c r="H8" s="83"/>
      <c r="I8" s="83"/>
      <c r="J8" s="83"/>
      <c r="K8" s="84"/>
      <c r="L8" s="84"/>
      <c r="M8" s="84"/>
      <c r="N8" s="84"/>
      <c r="O8" s="84"/>
      <c r="P8" s="84"/>
      <c r="Q8" s="84"/>
      <c r="R8" s="84"/>
      <c r="S8" s="84"/>
      <c r="T8" s="84"/>
      <c r="U8" s="85"/>
    </row>
    <row r="9" spans="1:21">
      <c r="A9" s="11" t="s">
        <v>8</v>
      </c>
      <c r="B9" s="83">
        <v>3000000</v>
      </c>
      <c r="C9" s="83">
        <v>3000000</v>
      </c>
      <c r="D9" s="83">
        <v>3000000</v>
      </c>
      <c r="E9" s="83">
        <v>3000000</v>
      </c>
      <c r="F9" s="84"/>
      <c r="G9" s="84"/>
      <c r="H9" s="83"/>
      <c r="I9" s="83"/>
      <c r="J9" s="84"/>
      <c r="K9" s="84"/>
      <c r="L9" s="84"/>
      <c r="M9" s="84"/>
      <c r="N9" s="84"/>
      <c r="O9" s="84"/>
      <c r="P9" s="84"/>
      <c r="Q9" s="84"/>
      <c r="R9" s="84"/>
      <c r="S9" s="84"/>
      <c r="T9" s="84"/>
      <c r="U9" s="85"/>
    </row>
    <row r="10" spans="1:21">
      <c r="A10" s="11" t="s">
        <v>102</v>
      </c>
      <c r="B10" s="83">
        <f>E66</f>
        <v>0</v>
      </c>
      <c r="C10" s="83">
        <v>35532</v>
      </c>
      <c r="D10" s="83">
        <f>E68</f>
        <v>0</v>
      </c>
      <c r="E10" s="83">
        <f>F68</f>
        <v>0</v>
      </c>
      <c r="F10" s="84"/>
      <c r="G10" s="84"/>
      <c r="H10" s="84"/>
      <c r="I10" s="84"/>
      <c r="J10" s="84"/>
      <c r="K10" s="84"/>
      <c r="L10" s="84"/>
      <c r="M10" s="84"/>
      <c r="N10" s="84"/>
      <c r="O10" s="84"/>
      <c r="P10" s="84"/>
      <c r="Q10" s="84"/>
      <c r="R10" s="84"/>
      <c r="S10" s="84"/>
      <c r="T10" s="84"/>
      <c r="U10" s="85"/>
    </row>
    <row r="11" spans="1:21">
      <c r="A11" s="11" t="s">
        <v>81</v>
      </c>
      <c r="B11" s="83">
        <f>E75</f>
        <v>0</v>
      </c>
      <c r="C11" s="83">
        <f>E76</f>
        <v>0</v>
      </c>
      <c r="D11" s="83">
        <v>200000</v>
      </c>
      <c r="E11" s="83">
        <v>200000</v>
      </c>
      <c r="F11" s="84"/>
      <c r="G11" s="84"/>
      <c r="H11" s="84"/>
      <c r="I11" s="84"/>
      <c r="J11" s="84"/>
      <c r="K11" s="84"/>
      <c r="L11" s="84"/>
      <c r="M11" s="84"/>
      <c r="N11" s="84"/>
      <c r="O11" s="84"/>
      <c r="P11" s="84"/>
      <c r="Q11" s="84"/>
      <c r="R11" s="84"/>
      <c r="S11" s="84"/>
      <c r="T11" s="84"/>
      <c r="U11" s="85"/>
    </row>
    <row r="12" spans="1:21">
      <c r="A12" s="11" t="s">
        <v>82</v>
      </c>
      <c r="B12" s="83">
        <f>E76</f>
        <v>0</v>
      </c>
      <c r="C12" s="83">
        <v>1000000</v>
      </c>
      <c r="D12" s="83">
        <f>E70</f>
        <v>0</v>
      </c>
      <c r="E12" s="83">
        <f>F70</f>
        <v>0</v>
      </c>
      <c r="F12" s="84"/>
      <c r="G12" s="84"/>
      <c r="H12" s="84"/>
      <c r="I12" s="84"/>
      <c r="J12" s="84"/>
      <c r="K12" s="84"/>
      <c r="L12" s="84"/>
      <c r="M12" s="84"/>
      <c r="N12" s="84"/>
      <c r="O12" s="84"/>
      <c r="P12" s="84"/>
      <c r="Q12" s="84"/>
      <c r="R12" s="84"/>
      <c r="S12" s="84"/>
      <c r="T12" s="84"/>
      <c r="U12" s="85"/>
    </row>
    <row r="13" spans="1:21">
      <c r="A13" s="11" t="s">
        <v>83</v>
      </c>
      <c r="B13" s="83">
        <v>300000</v>
      </c>
      <c r="C13" s="83">
        <v>200000</v>
      </c>
      <c r="D13" s="83">
        <v>200000</v>
      </c>
      <c r="E13" s="83">
        <v>200000</v>
      </c>
      <c r="F13" s="84"/>
      <c r="G13" s="84"/>
      <c r="H13" s="84"/>
      <c r="I13" s="84"/>
      <c r="J13" s="84"/>
      <c r="K13" s="84"/>
      <c r="L13" s="84"/>
      <c r="M13" s="84"/>
      <c r="N13" s="84"/>
      <c r="O13" s="84"/>
      <c r="P13" s="84"/>
      <c r="Q13" s="84"/>
      <c r="R13" s="84"/>
      <c r="S13" s="84"/>
      <c r="T13" s="84"/>
      <c r="U13" s="85"/>
    </row>
    <row r="14" spans="1:21">
      <c r="A14" s="11" t="s">
        <v>85</v>
      </c>
      <c r="B14" s="83">
        <v>0</v>
      </c>
      <c r="C14" s="83">
        <v>0</v>
      </c>
      <c r="D14" s="83">
        <v>0</v>
      </c>
      <c r="E14" s="83">
        <v>0</v>
      </c>
      <c r="F14" s="84"/>
      <c r="G14" s="84"/>
      <c r="H14" s="84"/>
      <c r="I14" s="84"/>
      <c r="J14" s="84"/>
      <c r="K14" s="84"/>
      <c r="L14" s="84"/>
      <c r="M14" s="84"/>
      <c r="N14" s="84"/>
      <c r="O14" s="84"/>
      <c r="P14" s="84"/>
      <c r="Q14" s="84"/>
      <c r="R14" s="84"/>
      <c r="S14" s="84"/>
      <c r="T14" s="84"/>
      <c r="U14" s="85"/>
    </row>
    <row r="15" spans="1:21">
      <c r="A15" s="11" t="s">
        <v>87</v>
      </c>
      <c r="B15" s="83">
        <v>50000</v>
      </c>
      <c r="C15" s="83">
        <v>100000</v>
      </c>
      <c r="D15" s="83">
        <v>100000</v>
      </c>
      <c r="E15" s="83">
        <v>100000</v>
      </c>
      <c r="F15" s="84"/>
      <c r="G15" s="84"/>
      <c r="H15" s="84"/>
      <c r="I15" s="84"/>
      <c r="J15" s="84"/>
      <c r="K15" s="84"/>
      <c r="L15" s="84"/>
      <c r="M15" s="84"/>
      <c r="N15" s="84"/>
      <c r="O15" s="84"/>
      <c r="P15" s="84"/>
      <c r="Q15" s="84"/>
      <c r="R15" s="84"/>
      <c r="S15" s="84"/>
      <c r="T15" s="84"/>
      <c r="U15" s="85"/>
    </row>
    <row r="16" spans="1:21">
      <c r="A16" s="11" t="s">
        <v>88</v>
      </c>
      <c r="B16" s="83">
        <v>50000</v>
      </c>
      <c r="C16" s="83">
        <v>100000</v>
      </c>
      <c r="D16" s="83">
        <v>100000</v>
      </c>
      <c r="E16" s="83">
        <v>100000</v>
      </c>
      <c r="F16" s="84"/>
      <c r="G16" s="84"/>
      <c r="H16" s="84"/>
      <c r="I16" s="84"/>
      <c r="J16" s="84"/>
      <c r="K16" s="84"/>
      <c r="L16" s="84"/>
      <c r="M16" s="84"/>
      <c r="N16" s="84"/>
      <c r="O16" s="84"/>
      <c r="P16" s="84"/>
      <c r="Q16" s="84"/>
      <c r="R16" s="84"/>
      <c r="S16" s="84"/>
      <c r="T16" s="84"/>
      <c r="U16" s="85"/>
    </row>
    <row r="17" spans="1:22">
      <c r="A17" s="11" t="s">
        <v>89</v>
      </c>
      <c r="B17" s="83">
        <v>1000000</v>
      </c>
      <c r="C17" s="83">
        <v>1000000</v>
      </c>
      <c r="D17" s="83">
        <v>63250</v>
      </c>
      <c r="E17" s="83">
        <v>0</v>
      </c>
      <c r="F17" s="84"/>
      <c r="G17" s="84"/>
      <c r="H17" s="84"/>
      <c r="I17" s="84"/>
      <c r="J17" s="84"/>
      <c r="K17" s="84"/>
      <c r="L17" s="84"/>
      <c r="M17" s="84"/>
      <c r="N17" s="84"/>
      <c r="O17" s="84"/>
      <c r="P17" s="84"/>
      <c r="Q17" s="84"/>
      <c r="R17" s="84"/>
      <c r="S17" s="84"/>
      <c r="T17" s="84"/>
      <c r="U17" s="85"/>
    </row>
    <row r="18" spans="1:22">
      <c r="A18" s="11" t="s">
        <v>90</v>
      </c>
      <c r="B18" s="83">
        <v>0</v>
      </c>
      <c r="C18" s="83">
        <v>50000</v>
      </c>
      <c r="D18" s="83">
        <v>80000</v>
      </c>
      <c r="E18" s="83">
        <v>80000</v>
      </c>
      <c r="F18" s="84"/>
      <c r="G18" s="84"/>
      <c r="H18" s="84"/>
      <c r="I18" s="84"/>
      <c r="J18" s="84"/>
      <c r="K18" s="84"/>
      <c r="L18" s="84"/>
      <c r="M18" s="84"/>
      <c r="N18" s="84"/>
      <c r="O18" s="84"/>
      <c r="P18" s="84"/>
      <c r="Q18" s="84"/>
      <c r="R18" s="84"/>
      <c r="S18" s="84"/>
      <c r="T18" s="84"/>
      <c r="U18" s="85"/>
    </row>
    <row r="19" spans="1:22">
      <c r="A19" s="11" t="s">
        <v>91</v>
      </c>
      <c r="B19" s="83">
        <v>300000</v>
      </c>
      <c r="C19" s="83">
        <v>300000</v>
      </c>
      <c r="D19" s="83">
        <v>300000</v>
      </c>
      <c r="E19" s="83">
        <v>300000</v>
      </c>
      <c r="F19" s="84"/>
      <c r="G19" s="84"/>
      <c r="H19" s="84"/>
      <c r="I19" s="84"/>
      <c r="J19" s="84"/>
      <c r="K19" s="84"/>
      <c r="L19" s="84"/>
      <c r="M19" s="84"/>
      <c r="N19" s="84"/>
      <c r="O19" s="84"/>
      <c r="P19" s="84"/>
      <c r="Q19" s="84"/>
      <c r="R19" s="84"/>
      <c r="S19" s="84"/>
      <c r="T19" s="84"/>
      <c r="U19" s="85"/>
    </row>
    <row r="20" spans="1:22">
      <c r="A20" s="11" t="s">
        <v>93</v>
      </c>
      <c r="B20" s="83">
        <v>500000</v>
      </c>
      <c r="C20" s="83">
        <v>500000</v>
      </c>
      <c r="D20" s="83">
        <v>500000</v>
      </c>
      <c r="E20" s="83">
        <v>500000</v>
      </c>
      <c r="F20" s="84"/>
      <c r="G20" s="84"/>
      <c r="H20" s="84"/>
      <c r="I20" s="84"/>
      <c r="J20" s="84"/>
      <c r="K20" s="84"/>
      <c r="L20" s="84"/>
      <c r="M20" s="84"/>
      <c r="N20" s="84"/>
      <c r="O20" s="84"/>
      <c r="P20" s="84"/>
      <c r="Q20" s="84"/>
      <c r="R20" s="84"/>
      <c r="S20" s="84"/>
      <c r="T20" s="84"/>
      <c r="U20" s="85"/>
    </row>
    <row r="21" spans="1:22">
      <c r="A21" s="11" t="s">
        <v>94</v>
      </c>
      <c r="B21" s="83">
        <v>300000</v>
      </c>
      <c r="C21" s="83">
        <v>300000</v>
      </c>
      <c r="D21" s="83">
        <v>300000</v>
      </c>
      <c r="E21" s="83">
        <v>300000</v>
      </c>
      <c r="F21" s="84"/>
      <c r="G21" s="84"/>
      <c r="H21" s="84"/>
      <c r="I21" s="84"/>
      <c r="J21" s="84"/>
      <c r="K21" s="84"/>
      <c r="L21" s="84"/>
      <c r="M21" s="84"/>
      <c r="N21" s="84"/>
      <c r="O21" s="84"/>
      <c r="P21" s="84"/>
      <c r="Q21" s="84"/>
      <c r="R21" s="84"/>
      <c r="S21" s="84"/>
      <c r="T21" s="84"/>
      <c r="U21" s="85"/>
    </row>
    <row r="22" spans="1:22">
      <c r="A22" s="11" t="s">
        <v>95</v>
      </c>
      <c r="B22" s="83">
        <v>50000</v>
      </c>
      <c r="C22" s="83">
        <v>50000</v>
      </c>
      <c r="D22" s="83">
        <v>50000</v>
      </c>
      <c r="E22" s="83">
        <v>50000</v>
      </c>
      <c r="F22" s="84"/>
      <c r="G22" s="84"/>
      <c r="H22" s="84"/>
      <c r="I22" s="84"/>
      <c r="J22" s="84"/>
      <c r="K22" s="84"/>
      <c r="L22" s="84"/>
      <c r="M22" s="84"/>
      <c r="N22" s="84"/>
      <c r="O22" s="84"/>
      <c r="P22" s="84"/>
      <c r="Q22" s="84"/>
      <c r="R22" s="84"/>
      <c r="S22" s="84"/>
      <c r="T22" s="84"/>
      <c r="U22" s="85"/>
    </row>
    <row r="23" spans="1:22">
      <c r="A23" s="11" t="s">
        <v>96</v>
      </c>
      <c r="B23" s="83">
        <v>10000</v>
      </c>
      <c r="C23" s="83">
        <v>10000</v>
      </c>
      <c r="D23" s="83">
        <v>10000</v>
      </c>
      <c r="E23" s="83">
        <v>10000</v>
      </c>
      <c r="F23" s="84"/>
      <c r="G23" s="84"/>
      <c r="H23" s="84"/>
      <c r="I23" s="84"/>
      <c r="J23" s="84"/>
      <c r="K23" s="84"/>
      <c r="L23" s="84"/>
      <c r="M23" s="84"/>
      <c r="N23" s="84"/>
      <c r="O23" s="84"/>
      <c r="P23" s="84"/>
      <c r="Q23" s="84"/>
      <c r="R23" s="84"/>
      <c r="S23" s="84"/>
      <c r="T23" s="84"/>
      <c r="U23" s="85"/>
    </row>
    <row r="24" spans="1:22" ht="30.75" customHeight="1">
      <c r="A24" s="12" t="s">
        <v>9</v>
      </c>
      <c r="B24" s="7">
        <f>SUM(B8:B22)</f>
        <v>5650000</v>
      </c>
      <c r="C24" s="7">
        <f t="shared" ref="C24:U24" si="1">SUM(C8:C22)</f>
        <v>6735532</v>
      </c>
      <c r="D24" s="7">
        <f t="shared" si="1"/>
        <v>4993250</v>
      </c>
      <c r="E24" s="7">
        <f t="shared" si="1"/>
        <v>4930000</v>
      </c>
      <c r="F24" s="7">
        <f t="shared" si="1"/>
        <v>0</v>
      </c>
      <c r="G24" s="7">
        <f t="shared" si="1"/>
        <v>0</v>
      </c>
      <c r="H24" s="7">
        <f t="shared" si="1"/>
        <v>0</v>
      </c>
      <c r="I24" s="7">
        <f t="shared" si="1"/>
        <v>0</v>
      </c>
      <c r="J24" s="7">
        <f t="shared" si="1"/>
        <v>0</v>
      </c>
      <c r="K24" s="7">
        <f t="shared" si="1"/>
        <v>0</v>
      </c>
      <c r="L24" s="7">
        <f t="shared" si="1"/>
        <v>0</v>
      </c>
      <c r="M24" s="7">
        <f t="shared" si="1"/>
        <v>0</v>
      </c>
      <c r="N24" s="7">
        <f t="shared" si="1"/>
        <v>0</v>
      </c>
      <c r="O24" s="7">
        <f t="shared" si="1"/>
        <v>0</v>
      </c>
      <c r="P24" s="7">
        <f t="shared" si="1"/>
        <v>0</v>
      </c>
      <c r="Q24" s="7">
        <f t="shared" si="1"/>
        <v>0</v>
      </c>
      <c r="R24" s="7">
        <f t="shared" si="1"/>
        <v>0</v>
      </c>
      <c r="S24" s="7">
        <f t="shared" si="1"/>
        <v>0</v>
      </c>
      <c r="T24" s="7">
        <f t="shared" si="1"/>
        <v>0</v>
      </c>
      <c r="U24" s="13">
        <f t="shared" si="1"/>
        <v>0</v>
      </c>
    </row>
    <row r="25" spans="1:22" ht="16.5" customHeight="1">
      <c r="A25" s="5" t="s">
        <v>243</v>
      </c>
      <c r="B25" s="200">
        <f>B3*B5</f>
        <v>5837057.3094252339</v>
      </c>
      <c r="C25" s="200">
        <f t="shared" ref="C25:F25" si="2">C3*C5</f>
        <v>7707961.1094252337</v>
      </c>
      <c r="D25" s="200">
        <f t="shared" si="2"/>
        <v>5975619.232694705</v>
      </c>
      <c r="E25" s="200">
        <f t="shared" si="2"/>
        <v>5378057.3094252348</v>
      </c>
      <c r="F25" s="200">
        <f t="shared" si="2"/>
        <v>0</v>
      </c>
      <c r="G25" s="200">
        <f t="shared" ref="G25:U25" si="3">G3*G5</f>
        <v>0</v>
      </c>
      <c r="H25" s="200">
        <f t="shared" si="3"/>
        <v>0</v>
      </c>
      <c r="I25" s="200">
        <f t="shared" si="3"/>
        <v>0</v>
      </c>
      <c r="J25" s="200">
        <f t="shared" si="3"/>
        <v>0</v>
      </c>
      <c r="K25" s="200">
        <f t="shared" si="3"/>
        <v>0</v>
      </c>
      <c r="L25" s="200">
        <f t="shared" si="3"/>
        <v>0</v>
      </c>
      <c r="M25" s="200">
        <f t="shared" si="3"/>
        <v>0</v>
      </c>
      <c r="N25" s="200">
        <f t="shared" si="3"/>
        <v>0</v>
      </c>
      <c r="O25" s="200">
        <f t="shared" si="3"/>
        <v>0</v>
      </c>
      <c r="P25" s="200">
        <f t="shared" si="3"/>
        <v>0</v>
      </c>
      <c r="Q25" s="200">
        <f t="shared" si="3"/>
        <v>0</v>
      </c>
      <c r="R25" s="200">
        <f t="shared" si="3"/>
        <v>0</v>
      </c>
      <c r="S25" s="200" t="e">
        <f t="shared" si="3"/>
        <v>#DIV/0!</v>
      </c>
      <c r="T25" s="200" t="e">
        <f t="shared" si="3"/>
        <v>#DIV/0!</v>
      </c>
      <c r="U25" s="200" t="e">
        <f t="shared" si="3"/>
        <v>#DIV/0!</v>
      </c>
    </row>
    <row r="26" spans="1:22" ht="16.5" customHeight="1">
      <c r="A26" s="5" t="s">
        <v>242</v>
      </c>
      <c r="B26" s="201">
        <f>B25/B24</f>
        <v>1.0331074883938467</v>
      </c>
      <c r="C26" s="201">
        <f t="shared" ref="C26:E26" si="4">C25/C24</f>
        <v>1.1443730219714245</v>
      </c>
      <c r="D26" s="201">
        <f t="shared" si="4"/>
        <v>1.1967394447894066</v>
      </c>
      <c r="E26" s="201">
        <f t="shared" si="4"/>
        <v>1.090883835583212</v>
      </c>
      <c r="F26" s="201"/>
      <c r="G26" s="201"/>
      <c r="H26" s="201"/>
      <c r="I26" s="201"/>
      <c r="J26" s="201"/>
      <c r="K26" s="201"/>
      <c r="L26" s="201"/>
      <c r="M26" s="201"/>
      <c r="N26" s="201"/>
      <c r="O26" s="201"/>
      <c r="P26" s="201"/>
      <c r="Q26" s="201"/>
      <c r="R26" s="201"/>
      <c r="S26" s="201"/>
      <c r="T26" s="201"/>
      <c r="U26" s="201"/>
      <c r="V26" s="205">
        <f>AVERAGE(B26:U26)</f>
        <v>1.1162759476844724</v>
      </c>
    </row>
    <row r="27" spans="1:22" ht="17.25" customHeight="1" thickBot="1">
      <c r="A27" s="5" t="s">
        <v>10</v>
      </c>
      <c r="B27" s="16" t="s">
        <v>11</v>
      </c>
      <c r="C27" s="15"/>
      <c r="D27" s="15"/>
      <c r="E27" s="15"/>
      <c r="F27" s="15"/>
      <c r="G27" s="15"/>
      <c r="H27" s="15"/>
      <c r="I27" s="15"/>
      <c r="J27" s="15"/>
      <c r="K27" s="15"/>
      <c r="L27" s="15"/>
      <c r="M27" s="15"/>
      <c r="N27" s="15"/>
      <c r="O27" s="15"/>
      <c r="P27" s="15"/>
      <c r="Q27" s="15"/>
      <c r="R27" s="15"/>
      <c r="S27" s="15"/>
      <c r="T27" s="15"/>
      <c r="U27" s="15"/>
    </row>
    <row r="28" spans="1:22">
      <c r="A28" s="17" t="s">
        <v>12</v>
      </c>
      <c r="B28" s="4">
        <v>45931</v>
      </c>
      <c r="C28" s="4">
        <v>45962</v>
      </c>
      <c r="D28" s="4">
        <v>45992</v>
      </c>
      <c r="E28" s="4">
        <v>46023</v>
      </c>
      <c r="F28" s="4">
        <v>46054</v>
      </c>
      <c r="G28" s="4">
        <v>46082</v>
      </c>
      <c r="H28" s="4">
        <v>46113</v>
      </c>
      <c r="I28" s="4">
        <v>46143</v>
      </c>
      <c r="J28" s="4">
        <v>46174</v>
      </c>
      <c r="K28" s="4">
        <v>46204</v>
      </c>
      <c r="L28" s="4">
        <v>46235</v>
      </c>
      <c r="M28" s="4">
        <v>46266</v>
      </c>
      <c r="N28" s="4">
        <v>46296</v>
      </c>
      <c r="O28" s="4">
        <v>46327</v>
      </c>
      <c r="P28" s="4">
        <v>46357</v>
      </c>
      <c r="Q28" s="4">
        <v>46388</v>
      </c>
      <c r="R28" s="4">
        <v>46419</v>
      </c>
      <c r="S28" s="4">
        <v>46447</v>
      </c>
      <c r="T28" s="4">
        <v>46478</v>
      </c>
      <c r="U28" s="4">
        <v>46508</v>
      </c>
    </row>
    <row r="29" spans="1:22" ht="15" thickBot="1">
      <c r="A29" s="18" t="s">
        <v>13</v>
      </c>
      <c r="B29" s="19">
        <f t="shared" ref="B29:I29" si="5">B3-B24</f>
        <v>835619.23269470409</v>
      </c>
      <c r="C29" s="19">
        <f t="shared" si="5"/>
        <v>1828869.2326947041</v>
      </c>
      <c r="D29" s="19">
        <f t="shared" si="5"/>
        <v>982369.23269470502</v>
      </c>
      <c r="E29" s="19">
        <f t="shared" si="5"/>
        <v>1045619.232694705</v>
      </c>
      <c r="F29" s="19">
        <f t="shared" si="5"/>
        <v>5975619.232694705</v>
      </c>
      <c r="G29" s="19">
        <f t="shared" si="5"/>
        <v>5975619.232694705</v>
      </c>
      <c r="H29" s="19">
        <f t="shared" si="5"/>
        <v>5975619.232694705</v>
      </c>
      <c r="I29" s="19">
        <f t="shared" si="5"/>
        <v>5975619.232694705</v>
      </c>
      <c r="J29" s="19"/>
      <c r="K29" s="19"/>
      <c r="L29" s="19"/>
      <c r="M29" s="19"/>
      <c r="N29" s="19"/>
      <c r="O29" s="19"/>
      <c r="P29" s="19"/>
      <c r="Q29" s="19"/>
      <c r="R29" s="19"/>
      <c r="S29" s="19"/>
      <c r="T29" s="19"/>
      <c r="U29" s="20"/>
    </row>
    <row r="30" spans="1:22" ht="15" thickBot="1">
      <c r="A30" s="14"/>
      <c r="B30" s="15"/>
      <c r="C30" s="15"/>
      <c r="D30" s="15"/>
      <c r="E30" s="15"/>
      <c r="F30" s="15"/>
      <c r="G30" s="15"/>
      <c r="H30" s="15"/>
      <c r="I30" s="15"/>
      <c r="J30" s="15"/>
      <c r="K30" s="15"/>
      <c r="L30" s="15"/>
      <c r="M30" s="15"/>
      <c r="N30" s="15"/>
      <c r="O30" s="15"/>
      <c r="P30" s="15"/>
      <c r="Q30" s="15"/>
      <c r="R30" s="15"/>
      <c r="S30" s="15"/>
      <c r="T30" s="15"/>
      <c r="U30" s="15"/>
    </row>
    <row r="31" spans="1:22" outlineLevel="1">
      <c r="A31" s="245" t="s">
        <v>14</v>
      </c>
      <c r="B31" s="247" t="s">
        <v>15</v>
      </c>
      <c r="C31" s="247"/>
      <c r="D31" s="247"/>
      <c r="E31" s="247"/>
      <c r="F31" s="247"/>
      <c r="G31" s="247"/>
      <c r="H31" s="247"/>
      <c r="I31" s="247"/>
      <c r="J31" s="247"/>
      <c r="K31" s="247"/>
      <c r="L31" s="247"/>
      <c r="M31" s="248"/>
    </row>
    <row r="32" spans="1:22" outlineLevel="1">
      <c r="A32" s="246"/>
      <c r="B32" s="249" t="s">
        <v>16</v>
      </c>
      <c r="C32" s="249"/>
      <c r="D32" s="249"/>
      <c r="E32" s="249"/>
      <c r="F32" s="250" t="s">
        <v>17</v>
      </c>
      <c r="G32" s="251"/>
      <c r="H32" s="252"/>
      <c r="I32" s="250" t="s">
        <v>18</v>
      </c>
      <c r="J32" s="252"/>
      <c r="K32" s="253" t="s">
        <v>19</v>
      </c>
      <c r="L32" s="254"/>
      <c r="M32" s="255" t="s">
        <v>20</v>
      </c>
    </row>
    <row r="33" spans="1:13" ht="28.8" outlineLevel="1">
      <c r="A33" s="246"/>
      <c r="B33" s="21" t="s">
        <v>21</v>
      </c>
      <c r="C33" s="22" t="s">
        <v>22</v>
      </c>
      <c r="D33" s="22" t="s">
        <v>23</v>
      </c>
      <c r="E33" s="22" t="s">
        <v>24</v>
      </c>
      <c r="F33" s="23" t="s">
        <v>25</v>
      </c>
      <c r="G33" s="23" t="s">
        <v>26</v>
      </c>
      <c r="H33" s="23" t="s">
        <v>27</v>
      </c>
      <c r="I33" s="23" t="s">
        <v>28</v>
      </c>
      <c r="J33" s="23" t="s">
        <v>29</v>
      </c>
      <c r="K33" s="24" t="s">
        <v>30</v>
      </c>
      <c r="L33" s="24" t="s">
        <v>31</v>
      </c>
      <c r="M33" s="255"/>
    </row>
    <row r="34" spans="1:13" ht="15.6" outlineLevel="1">
      <c r="A34" s="25">
        <v>45931</v>
      </c>
      <c r="B34" s="21" t="s">
        <v>109</v>
      </c>
      <c r="C34" s="21" t="s">
        <v>32</v>
      </c>
      <c r="D34" s="21" t="s">
        <v>33</v>
      </c>
      <c r="E34" s="26">
        <f>B9</f>
        <v>3000000</v>
      </c>
      <c r="F34" s="27">
        <f>E34*5%</f>
        <v>150000</v>
      </c>
      <c r="G34" s="27">
        <v>0</v>
      </c>
      <c r="H34" s="27">
        <v>0</v>
      </c>
      <c r="I34" s="86">
        <v>0</v>
      </c>
      <c r="J34" s="86">
        <v>0</v>
      </c>
      <c r="K34" s="28">
        <f t="shared" ref="K34:K37" si="6">E34*9%</f>
        <v>270000</v>
      </c>
      <c r="L34" s="28">
        <f t="shared" ref="L34:L37" si="7">E34*9%</f>
        <v>270000</v>
      </c>
      <c r="M34" s="29">
        <f t="shared" ref="M34:M37" si="8">E34-F34-G34-H34-I34+J34+K34+L34</f>
        <v>3390000</v>
      </c>
    </row>
    <row r="35" spans="1:13" ht="15.6" outlineLevel="1">
      <c r="A35" s="25">
        <v>45962</v>
      </c>
      <c r="B35" s="21" t="s">
        <v>109</v>
      </c>
      <c r="C35" s="21" t="s">
        <v>34</v>
      </c>
      <c r="D35" s="21" t="s">
        <v>110</v>
      </c>
      <c r="E35" s="26">
        <f>C9</f>
        <v>3000000</v>
      </c>
      <c r="F35" s="27">
        <f>E35*5%</f>
        <v>150000</v>
      </c>
      <c r="G35" s="27">
        <f>E34*6.25%</f>
        <v>187500</v>
      </c>
      <c r="H35" s="27">
        <v>0</v>
      </c>
      <c r="I35" s="86">
        <v>0</v>
      </c>
      <c r="J35" s="86">
        <v>0</v>
      </c>
      <c r="K35" s="28">
        <f t="shared" si="6"/>
        <v>270000</v>
      </c>
      <c r="L35" s="28">
        <f t="shared" si="7"/>
        <v>270000</v>
      </c>
      <c r="M35" s="29">
        <f t="shared" si="8"/>
        <v>3202500</v>
      </c>
    </row>
    <row r="36" spans="1:13" ht="15.6" outlineLevel="1">
      <c r="A36" s="25">
        <v>45992</v>
      </c>
      <c r="B36" s="21" t="s">
        <v>109</v>
      </c>
      <c r="C36" s="21" t="s">
        <v>37</v>
      </c>
      <c r="D36" s="21" t="s">
        <v>35</v>
      </c>
      <c r="E36" s="26">
        <f>D9</f>
        <v>3000000</v>
      </c>
      <c r="F36" s="27">
        <f>E36*5%</f>
        <v>150000</v>
      </c>
      <c r="G36" s="27">
        <f>E35*6.25%</f>
        <v>187500</v>
      </c>
      <c r="H36" s="27">
        <v>0</v>
      </c>
      <c r="I36" s="86">
        <v>0</v>
      </c>
      <c r="J36" s="86">
        <v>0</v>
      </c>
      <c r="K36" s="28">
        <f t="shared" si="6"/>
        <v>270000</v>
      </c>
      <c r="L36" s="28">
        <f t="shared" si="7"/>
        <v>270000</v>
      </c>
      <c r="M36" s="29">
        <f t="shared" si="8"/>
        <v>3202500</v>
      </c>
    </row>
    <row r="37" spans="1:13" ht="28.8" outlineLevel="1">
      <c r="A37" s="25">
        <v>46023</v>
      </c>
      <c r="B37" s="21" t="s">
        <v>109</v>
      </c>
      <c r="C37" s="21" t="s">
        <v>38</v>
      </c>
      <c r="D37" s="22" t="s">
        <v>36</v>
      </c>
      <c r="E37" s="26">
        <f>E9</f>
        <v>3000000</v>
      </c>
      <c r="F37" s="27">
        <f>E37*5%</f>
        <v>150000</v>
      </c>
      <c r="G37" s="27">
        <f>E36*6.25%</f>
        <v>187500</v>
      </c>
      <c r="H37" s="27">
        <v>0</v>
      </c>
      <c r="I37" s="86">
        <v>0</v>
      </c>
      <c r="J37" s="86">
        <v>0</v>
      </c>
      <c r="K37" s="28">
        <f t="shared" si="6"/>
        <v>270000</v>
      </c>
      <c r="L37" s="28">
        <f t="shared" si="7"/>
        <v>270000</v>
      </c>
      <c r="M37" s="29">
        <f t="shared" si="8"/>
        <v>3202500</v>
      </c>
    </row>
    <row r="38" spans="1:13" ht="15.6" outlineLevel="1">
      <c r="A38" s="25">
        <v>46054</v>
      </c>
      <c r="B38" s="21"/>
      <c r="C38" s="21"/>
      <c r="D38" s="22"/>
      <c r="E38" s="26"/>
      <c r="F38" s="27"/>
      <c r="G38" s="27"/>
      <c r="H38" s="27"/>
      <c r="I38" s="86"/>
      <c r="J38" s="86"/>
      <c r="K38" s="28"/>
      <c r="L38" s="28"/>
      <c r="M38" s="29"/>
    </row>
    <row r="39" spans="1:13" ht="15.6" outlineLevel="1">
      <c r="A39" s="25">
        <v>46082</v>
      </c>
      <c r="B39" s="21"/>
      <c r="C39" s="21"/>
      <c r="D39" s="22"/>
      <c r="E39" s="26"/>
      <c r="F39" s="27"/>
      <c r="G39" s="27"/>
      <c r="H39" s="27"/>
      <c r="I39" s="86"/>
      <c r="J39" s="86"/>
      <c r="K39" s="28"/>
      <c r="L39" s="28"/>
      <c r="M39" s="29"/>
    </row>
    <row r="40" spans="1:13" ht="15.6" outlineLevel="1">
      <c r="A40" s="25">
        <v>46113</v>
      </c>
      <c r="B40" s="21"/>
      <c r="C40" s="21"/>
      <c r="D40" s="22"/>
      <c r="E40" s="26"/>
      <c r="F40" s="27"/>
      <c r="G40" s="27"/>
      <c r="H40" s="27"/>
      <c r="I40" s="86"/>
      <c r="J40" s="86"/>
      <c r="K40" s="28"/>
      <c r="L40" s="28"/>
      <c r="M40" s="29"/>
    </row>
    <row r="41" spans="1:13" ht="15.6" outlineLevel="1">
      <c r="A41" s="25">
        <v>46143</v>
      </c>
      <c r="B41" s="21"/>
      <c r="C41" s="21"/>
      <c r="D41" s="22"/>
      <c r="E41" s="26"/>
      <c r="F41" s="27"/>
      <c r="G41" s="27"/>
      <c r="H41" s="27"/>
      <c r="I41" s="86"/>
      <c r="J41" s="86"/>
      <c r="K41" s="28"/>
      <c r="L41" s="28"/>
      <c r="M41" s="29"/>
    </row>
    <row r="42" spans="1:13" ht="15.6" outlineLevel="1">
      <c r="A42" s="25">
        <v>46174</v>
      </c>
      <c r="B42" s="21"/>
      <c r="C42" s="21"/>
      <c r="D42" s="22"/>
      <c r="E42" s="26"/>
      <c r="F42" s="27"/>
      <c r="G42" s="27"/>
      <c r="H42" s="27"/>
      <c r="I42" s="86"/>
      <c r="J42" s="86"/>
      <c r="K42" s="28"/>
      <c r="L42" s="28"/>
      <c r="M42" s="29"/>
    </row>
    <row r="43" spans="1:13" ht="15.6" outlineLevel="1">
      <c r="A43" s="25">
        <v>46204</v>
      </c>
      <c r="B43" s="21"/>
      <c r="C43" s="21"/>
      <c r="D43" s="22"/>
      <c r="E43" s="26"/>
      <c r="F43" s="27"/>
      <c r="G43" s="27"/>
      <c r="H43" s="27"/>
      <c r="I43" s="86"/>
      <c r="J43" s="86"/>
      <c r="K43" s="28"/>
      <c r="L43" s="28"/>
      <c r="M43" s="29"/>
    </row>
    <row r="44" spans="1:13" ht="15.6" outlineLevel="1">
      <c r="A44" s="30"/>
      <c r="B44" s="31"/>
      <c r="C44" s="31"/>
      <c r="D44" s="32"/>
      <c r="E44" s="33"/>
      <c r="F44" s="34"/>
      <c r="G44" s="34"/>
      <c r="H44" s="34"/>
      <c r="I44" s="34"/>
      <c r="J44" s="34"/>
      <c r="K44" s="35"/>
      <c r="L44" s="35"/>
      <c r="M44" s="36"/>
    </row>
    <row r="45" spans="1:13" ht="16.2" outlineLevel="1" thickBot="1">
      <c r="A45" s="239" t="s">
        <v>111</v>
      </c>
      <c r="B45" s="240"/>
      <c r="C45" s="240"/>
      <c r="D45" s="240"/>
      <c r="E45" s="37">
        <f>SUM(E34:E44)</f>
        <v>12000000</v>
      </c>
      <c r="F45" s="38">
        <f>SUM(F34:F44)</f>
        <v>600000</v>
      </c>
      <c r="G45" s="38">
        <f>SUM(G34:G44)</f>
        <v>562500</v>
      </c>
      <c r="H45" s="38">
        <f>SUM(H34:H44)</f>
        <v>0</v>
      </c>
      <c r="I45" s="38">
        <f t="shared" ref="I45:J45" si="9">SUM(I34:I44)</f>
        <v>0</v>
      </c>
      <c r="J45" s="38">
        <f t="shared" si="9"/>
        <v>0</v>
      </c>
      <c r="K45" s="39">
        <f>SUM(K34:K44)</f>
        <v>1080000</v>
      </c>
      <c r="L45" s="39">
        <f>SUM(L34:L44)</f>
        <v>1080000</v>
      </c>
      <c r="M45" s="40">
        <f>SUM(M34:M44)</f>
        <v>12997500</v>
      </c>
    </row>
    <row r="46" spans="1:13" ht="15" customHeight="1">
      <c r="A46" s="41"/>
      <c r="B46" s="41"/>
      <c r="C46" s="41"/>
      <c r="D46" s="41"/>
      <c r="E46" s="41"/>
      <c r="F46" s="41"/>
      <c r="G46" s="41"/>
      <c r="H46" s="41"/>
      <c r="I46" s="41"/>
      <c r="J46" s="41"/>
      <c r="K46" s="41"/>
      <c r="L46" s="41"/>
      <c r="M46" s="41"/>
    </row>
    <row r="47" spans="1:13" outlineLevel="1">
      <c r="A47" s="41"/>
      <c r="B47" s="41"/>
      <c r="C47" s="41"/>
      <c r="D47" s="41"/>
      <c r="E47" s="41"/>
      <c r="F47" s="41"/>
      <c r="G47" s="41"/>
      <c r="H47" s="41"/>
      <c r="I47" s="41"/>
      <c r="J47" s="41"/>
      <c r="K47" s="41"/>
      <c r="L47" s="41"/>
      <c r="M47" s="41"/>
    </row>
    <row r="48" spans="1:13" ht="14.4" customHeight="1" outlineLevel="1">
      <c r="A48" s="41"/>
      <c r="B48" s="41"/>
      <c r="C48" s="41"/>
      <c r="D48" s="41"/>
      <c r="E48" s="41"/>
      <c r="F48" s="41"/>
      <c r="G48" s="41"/>
      <c r="H48" s="41"/>
      <c r="I48" s="41"/>
      <c r="J48" s="41"/>
      <c r="K48" s="41"/>
      <c r="L48" s="41"/>
      <c r="M48" s="41"/>
    </row>
    <row r="49" spans="1:13" ht="14.4" customHeight="1" outlineLevel="1">
      <c r="A49" s="41"/>
      <c r="B49" s="41"/>
      <c r="C49" s="41"/>
      <c r="D49" s="41"/>
      <c r="E49" s="41"/>
      <c r="F49" s="41"/>
      <c r="G49" s="41"/>
      <c r="H49" s="41"/>
      <c r="I49" s="41"/>
      <c r="J49" s="41"/>
      <c r="K49" s="41"/>
      <c r="L49" s="41"/>
      <c r="M49" s="41"/>
    </row>
    <row r="50" spans="1:13" outlineLevel="1">
      <c r="A50" s="41"/>
      <c r="B50" s="41"/>
      <c r="C50" s="41"/>
      <c r="D50" s="41"/>
      <c r="E50" s="41"/>
      <c r="F50" s="41"/>
      <c r="G50" s="41"/>
      <c r="H50" s="41"/>
      <c r="I50" s="41"/>
      <c r="J50" s="41"/>
      <c r="K50" s="41"/>
      <c r="L50" s="41"/>
      <c r="M50" s="41"/>
    </row>
    <row r="51" spans="1:13" outlineLevel="1">
      <c r="A51" s="41"/>
      <c r="B51" s="41"/>
      <c r="C51" s="41"/>
      <c r="D51" s="41"/>
      <c r="E51" s="41"/>
      <c r="F51" s="41"/>
      <c r="G51" s="41"/>
      <c r="H51" s="41"/>
      <c r="I51" s="41"/>
      <c r="J51" s="41"/>
      <c r="K51" s="41"/>
      <c r="L51" s="41"/>
      <c r="M51" s="41"/>
    </row>
    <row r="52" spans="1:13" outlineLevel="1">
      <c r="A52" s="41"/>
      <c r="B52" s="41"/>
      <c r="C52" s="41"/>
      <c r="D52" s="41"/>
      <c r="E52" s="41"/>
      <c r="F52" s="41"/>
      <c r="G52" s="41"/>
      <c r="H52" s="41"/>
      <c r="I52" s="41"/>
      <c r="J52" s="41"/>
      <c r="K52" s="41"/>
      <c r="L52" s="41"/>
      <c r="M52" s="41"/>
    </row>
    <row r="53" spans="1:13" outlineLevel="1">
      <c r="A53" s="41"/>
      <c r="B53" s="41"/>
      <c r="C53" s="41"/>
      <c r="D53" s="41"/>
      <c r="E53" s="41"/>
      <c r="F53" s="41"/>
      <c r="G53" s="41"/>
      <c r="H53" s="41"/>
      <c r="I53" s="41"/>
      <c r="J53" s="41"/>
      <c r="K53" s="41"/>
      <c r="L53" s="41"/>
      <c r="M53" s="41"/>
    </row>
    <row r="54" spans="1:13" outlineLevel="1">
      <c r="A54" s="41"/>
      <c r="B54" s="41"/>
      <c r="C54" s="41"/>
      <c r="D54" s="41"/>
      <c r="E54" s="41"/>
      <c r="F54" s="41"/>
      <c r="G54" s="41"/>
      <c r="H54" s="41"/>
      <c r="I54" s="41"/>
      <c r="J54" s="41"/>
      <c r="K54" s="41"/>
      <c r="L54" s="41"/>
      <c r="M54" s="41"/>
    </row>
    <row r="55" spans="1:13" outlineLevel="1">
      <c r="A55" s="41"/>
      <c r="B55" s="41"/>
      <c r="C55" s="41"/>
      <c r="D55" s="41"/>
      <c r="E55" s="41"/>
      <c r="F55" s="41"/>
      <c r="G55" s="41"/>
      <c r="H55" s="41"/>
      <c r="I55" s="41"/>
      <c r="J55" s="41"/>
      <c r="K55" s="41"/>
      <c r="L55" s="41"/>
      <c r="M55" s="41"/>
    </row>
    <row r="56" spans="1:13" outlineLevel="1">
      <c r="A56" s="41"/>
      <c r="B56" s="41"/>
      <c r="C56" s="41"/>
      <c r="D56" s="41"/>
      <c r="E56" s="41"/>
      <c r="F56" s="41"/>
      <c r="G56" s="41"/>
      <c r="H56" s="41"/>
      <c r="I56" s="41"/>
      <c r="J56" s="41"/>
      <c r="K56" s="41"/>
      <c r="L56" s="41"/>
      <c r="M56" s="41"/>
    </row>
    <row r="57" spans="1:13" outlineLevel="1">
      <c r="A57" s="41"/>
      <c r="B57" s="41"/>
      <c r="C57" s="41"/>
      <c r="D57" s="41"/>
      <c r="E57" s="41"/>
      <c r="F57" s="41"/>
      <c r="G57" s="41"/>
      <c r="H57" s="41"/>
      <c r="I57" s="41"/>
      <c r="J57" s="41"/>
      <c r="K57" s="41"/>
      <c r="L57" s="41"/>
      <c r="M57" s="41"/>
    </row>
    <row r="58" spans="1:13" outlineLevel="1">
      <c r="A58" s="41"/>
      <c r="B58" s="41"/>
      <c r="C58" s="41"/>
      <c r="D58" s="41"/>
      <c r="E58" s="41"/>
      <c r="F58" s="41"/>
      <c r="G58" s="41"/>
      <c r="H58" s="41"/>
      <c r="I58" s="41"/>
      <c r="J58" s="41"/>
      <c r="K58" s="41"/>
      <c r="L58" s="41"/>
      <c r="M58" s="41"/>
    </row>
    <row r="59" spans="1:13" outlineLevel="1">
      <c r="A59" s="41"/>
      <c r="B59" s="41"/>
      <c r="C59" s="41"/>
      <c r="D59" s="41"/>
      <c r="E59" s="41"/>
      <c r="F59" s="41"/>
      <c r="G59" s="41"/>
      <c r="H59" s="41"/>
      <c r="I59" s="41"/>
      <c r="J59" s="41"/>
      <c r="K59" s="41"/>
      <c r="L59" s="41"/>
      <c r="M59" s="41"/>
    </row>
    <row r="60" spans="1:13" outlineLevel="1">
      <c r="A60" s="41"/>
      <c r="B60" s="41"/>
      <c r="C60" s="41"/>
      <c r="D60" s="41"/>
      <c r="E60" s="41"/>
      <c r="F60" s="41"/>
      <c r="G60" s="41"/>
      <c r="H60" s="41"/>
      <c r="I60" s="41"/>
      <c r="J60" s="41"/>
      <c r="K60" s="41"/>
      <c r="L60" s="41"/>
      <c r="M60" s="41"/>
    </row>
    <row r="61" spans="1:13" outlineLevel="1">
      <c r="A61" s="41"/>
      <c r="B61" s="41"/>
      <c r="C61" s="41"/>
      <c r="D61" s="41"/>
      <c r="E61" s="41"/>
      <c r="F61" s="41"/>
      <c r="G61" s="41"/>
      <c r="H61" s="41"/>
      <c r="I61" s="41"/>
      <c r="J61" s="41"/>
      <c r="K61" s="41"/>
      <c r="L61" s="41"/>
      <c r="M61" s="41"/>
    </row>
    <row r="62" spans="1:13" ht="15" customHeight="1">
      <c r="A62" s="41"/>
      <c r="B62" s="41"/>
      <c r="C62" s="41"/>
      <c r="D62" s="41"/>
      <c r="E62" s="41"/>
      <c r="F62" s="41"/>
      <c r="G62" s="41"/>
      <c r="H62" s="41"/>
      <c r="I62" s="41"/>
      <c r="J62" s="41"/>
      <c r="K62" s="41"/>
      <c r="L62" s="41"/>
      <c r="M62" s="41"/>
    </row>
    <row r="63" spans="1:13" ht="14.4" hidden="1" customHeight="1" outlineLevel="1">
      <c r="A63" s="41"/>
      <c r="B63" s="41"/>
      <c r="C63" s="41"/>
      <c r="D63" s="41"/>
      <c r="E63" s="41"/>
      <c r="F63" s="41"/>
      <c r="G63" s="41"/>
      <c r="H63" s="41"/>
      <c r="I63" s="41"/>
      <c r="J63" s="41"/>
      <c r="K63" s="41"/>
      <c r="L63" s="41"/>
      <c r="M63" s="41"/>
    </row>
    <row r="64" spans="1:13" ht="14.4" hidden="1" customHeight="1" outlineLevel="1">
      <c r="A64" s="41"/>
      <c r="B64" s="41"/>
      <c r="C64" s="41"/>
      <c r="D64" s="41"/>
      <c r="E64" s="41"/>
      <c r="F64" s="41"/>
      <c r="G64" s="41"/>
      <c r="H64" s="41"/>
      <c r="I64" s="41"/>
      <c r="J64" s="41"/>
      <c r="K64" s="41"/>
      <c r="L64" s="41"/>
      <c r="M64" s="41"/>
    </row>
    <row r="65" spans="1:13" ht="14.4" hidden="1" customHeight="1" outlineLevel="1">
      <c r="A65" s="41"/>
      <c r="B65" s="41"/>
      <c r="C65" s="41"/>
      <c r="D65" s="41"/>
      <c r="E65" s="41"/>
      <c r="F65" s="41"/>
      <c r="G65" s="41"/>
      <c r="H65" s="41"/>
      <c r="I65" s="41"/>
      <c r="J65" s="41"/>
      <c r="K65" s="41"/>
      <c r="L65" s="41"/>
      <c r="M65" s="41"/>
    </row>
    <row r="66" spans="1:13" ht="15.6" hidden="1" customHeight="1" outlineLevel="1">
      <c r="A66" s="41"/>
      <c r="B66" s="41"/>
      <c r="C66" s="41"/>
      <c r="D66" s="41"/>
      <c r="E66" s="41"/>
      <c r="F66" s="41"/>
      <c r="G66" s="41"/>
      <c r="H66" s="41"/>
      <c r="I66" s="41"/>
      <c r="J66" s="41"/>
      <c r="K66" s="41"/>
      <c r="L66" s="41"/>
      <c r="M66" s="41"/>
    </row>
    <row r="67" spans="1:13" ht="15.6" hidden="1" customHeight="1" outlineLevel="1">
      <c r="A67" s="41"/>
      <c r="B67" s="41"/>
      <c r="C67" s="41"/>
      <c r="D67" s="41"/>
      <c r="E67" s="41"/>
      <c r="F67" s="41"/>
      <c r="G67" s="41"/>
      <c r="H67" s="41"/>
      <c r="I67" s="41"/>
      <c r="J67" s="41"/>
      <c r="K67" s="41"/>
      <c r="L67" s="41"/>
      <c r="M67" s="41"/>
    </row>
    <row r="68" spans="1:13" ht="15.6" hidden="1" customHeight="1" outlineLevel="1">
      <c r="A68" s="41"/>
      <c r="B68" s="41"/>
      <c r="C68" s="41"/>
      <c r="D68" s="41"/>
      <c r="E68" s="41"/>
      <c r="F68" s="41"/>
      <c r="G68" s="41"/>
      <c r="H68" s="41"/>
      <c r="I68" s="41"/>
      <c r="J68" s="41"/>
      <c r="K68" s="41"/>
      <c r="L68" s="41"/>
      <c r="M68" s="41"/>
    </row>
    <row r="69" spans="1:13" ht="15.6" hidden="1" customHeight="1" outlineLevel="1">
      <c r="A69" s="41"/>
      <c r="B69" s="41"/>
      <c r="C69" s="41"/>
      <c r="D69" s="41"/>
      <c r="E69" s="41"/>
      <c r="F69" s="41"/>
      <c r="G69" s="41"/>
      <c r="H69" s="41"/>
      <c r="I69" s="41"/>
      <c r="J69" s="41"/>
      <c r="K69" s="41"/>
      <c r="L69" s="41"/>
      <c r="M69" s="41"/>
    </row>
    <row r="70" spans="1:13" ht="16.2" hidden="1" customHeight="1" outlineLevel="1" thickBot="1">
      <c r="A70" s="41"/>
      <c r="B70" s="41"/>
      <c r="C70" s="41"/>
      <c r="D70" s="41"/>
      <c r="E70" s="41"/>
      <c r="F70" s="41"/>
      <c r="G70" s="41"/>
      <c r="H70" s="41"/>
      <c r="I70" s="41"/>
      <c r="J70" s="41"/>
      <c r="K70" s="41"/>
      <c r="L70" s="41"/>
      <c r="M70" s="41"/>
    </row>
    <row r="71" spans="1:13" ht="14.25" customHeight="1" collapsed="1">
      <c r="A71" s="41"/>
      <c r="B71" s="41"/>
      <c r="C71" s="41"/>
      <c r="D71" s="41"/>
      <c r="E71" s="41"/>
      <c r="F71" s="41"/>
      <c r="G71" s="41"/>
      <c r="H71" s="41"/>
      <c r="I71" s="41"/>
      <c r="J71" s="41"/>
      <c r="K71" s="41"/>
      <c r="L71" s="41"/>
      <c r="M71" s="41"/>
    </row>
    <row r="72" spans="1:13" ht="14.4" hidden="1" customHeight="1" outlineLevel="1">
      <c r="A72" s="41"/>
      <c r="B72" s="41"/>
      <c r="C72" s="41"/>
      <c r="D72" s="41"/>
      <c r="E72" s="41"/>
      <c r="F72" s="41"/>
      <c r="G72" s="41"/>
      <c r="H72" s="41"/>
      <c r="I72" s="41"/>
      <c r="J72" s="41"/>
      <c r="K72" s="41"/>
      <c r="L72" s="41"/>
      <c r="M72" s="41"/>
    </row>
    <row r="73" spans="1:13" ht="14.4" hidden="1" customHeight="1" outlineLevel="1">
      <c r="A73" s="41"/>
      <c r="B73" s="41"/>
      <c r="C73" s="41"/>
      <c r="D73" s="41"/>
      <c r="E73" s="41"/>
      <c r="F73" s="41"/>
      <c r="G73" s="41"/>
      <c r="H73" s="41"/>
      <c r="I73" s="41"/>
      <c r="J73" s="41"/>
      <c r="K73" s="41"/>
      <c r="L73" s="41"/>
      <c r="M73" s="41"/>
    </row>
    <row r="74" spans="1:13" ht="14.4" hidden="1" customHeight="1" outlineLevel="1">
      <c r="A74" s="41"/>
      <c r="B74" s="41"/>
      <c r="C74" s="41"/>
      <c r="D74" s="41"/>
      <c r="E74" s="41"/>
      <c r="F74" s="41"/>
      <c r="G74" s="41"/>
      <c r="H74" s="41"/>
      <c r="I74" s="41"/>
      <c r="J74" s="41"/>
      <c r="K74" s="41"/>
      <c r="L74" s="41"/>
      <c r="M74" s="41"/>
    </row>
    <row r="75" spans="1:13" ht="15.6" hidden="1" customHeight="1" outlineLevel="1">
      <c r="A75" s="41"/>
      <c r="B75" s="41"/>
      <c r="C75" s="41"/>
      <c r="D75" s="41"/>
      <c r="E75" s="41"/>
      <c r="F75" s="41"/>
      <c r="G75" s="41"/>
      <c r="H75" s="41"/>
      <c r="I75" s="41"/>
      <c r="J75" s="41"/>
      <c r="K75" s="41"/>
      <c r="L75" s="41"/>
      <c r="M75" s="41"/>
    </row>
    <row r="76" spans="1:13" ht="15.6" hidden="1" customHeight="1" outlineLevel="1">
      <c r="A76" s="41"/>
      <c r="B76" s="41"/>
      <c r="C76" s="41"/>
      <c r="D76" s="41"/>
      <c r="E76" s="41"/>
      <c r="F76" s="41"/>
      <c r="G76" s="41"/>
      <c r="H76" s="41"/>
      <c r="I76" s="41"/>
      <c r="J76" s="41"/>
      <c r="K76" s="41"/>
      <c r="L76" s="41"/>
      <c r="M76" s="41"/>
    </row>
    <row r="77" spans="1:13" ht="15.6" hidden="1" customHeight="1" outlineLevel="1">
      <c r="A77" s="41"/>
      <c r="B77" s="41"/>
      <c r="C77" s="41"/>
      <c r="D77" s="41"/>
      <c r="E77" s="41"/>
      <c r="F77" s="41"/>
      <c r="G77" s="41"/>
      <c r="H77" s="41"/>
      <c r="I77" s="41"/>
      <c r="J77" s="41"/>
      <c r="K77" s="41"/>
      <c r="L77" s="41"/>
      <c r="M77" s="41"/>
    </row>
    <row r="78" spans="1:13" ht="15.6" hidden="1" customHeight="1" outlineLevel="1">
      <c r="A78" s="41"/>
      <c r="B78" s="41"/>
      <c r="C78" s="41"/>
      <c r="D78" s="41"/>
      <c r="E78" s="41"/>
      <c r="F78" s="41"/>
      <c r="G78" s="41"/>
      <c r="H78" s="41"/>
      <c r="I78" s="41"/>
      <c r="J78" s="41"/>
      <c r="K78" s="41"/>
      <c r="L78" s="41"/>
      <c r="M78" s="41"/>
    </row>
    <row r="79" spans="1:13" ht="16.2" hidden="1" customHeight="1" outlineLevel="1" thickBot="1">
      <c r="A79" s="41"/>
      <c r="B79" s="41"/>
      <c r="C79" s="41"/>
      <c r="D79" s="41"/>
      <c r="E79" s="41"/>
      <c r="F79" s="41"/>
      <c r="G79" s="41"/>
      <c r="H79" s="41"/>
      <c r="I79" s="41"/>
      <c r="J79" s="41"/>
      <c r="K79" s="41"/>
      <c r="L79" s="41"/>
      <c r="M79" s="41"/>
    </row>
    <row r="80" spans="1:13" ht="14.25" customHeight="1" collapsed="1">
      <c r="A80" s="41"/>
      <c r="B80" s="41"/>
      <c r="C80" s="41"/>
      <c r="D80" s="41"/>
      <c r="E80" s="41"/>
      <c r="F80" s="41"/>
      <c r="G80" s="41"/>
      <c r="H80" s="41"/>
      <c r="I80" s="41"/>
      <c r="J80" s="41"/>
      <c r="K80" s="41"/>
      <c r="L80" s="41"/>
      <c r="M80" s="41"/>
    </row>
    <row r="81" spans="1:13" ht="14.4" hidden="1" customHeight="1" outlineLevel="1">
      <c r="A81" s="41"/>
      <c r="B81" s="41"/>
      <c r="C81" s="41"/>
      <c r="D81" s="41"/>
      <c r="E81" s="41"/>
      <c r="F81" s="41"/>
      <c r="G81" s="41"/>
      <c r="H81" s="41"/>
      <c r="I81" s="41"/>
      <c r="J81" s="41"/>
      <c r="K81" s="41"/>
      <c r="L81" s="41"/>
      <c r="M81" s="41"/>
    </row>
    <row r="82" spans="1:13" ht="14.4" hidden="1" customHeight="1" outlineLevel="1">
      <c r="A82" s="41"/>
      <c r="B82" s="41"/>
      <c r="C82" s="41"/>
      <c r="D82" s="41"/>
      <c r="E82" s="41"/>
      <c r="F82" s="41"/>
      <c r="G82" s="41"/>
      <c r="H82" s="41"/>
      <c r="I82" s="41"/>
      <c r="J82" s="41"/>
      <c r="K82" s="41"/>
      <c r="L82" s="41"/>
      <c r="M82" s="41"/>
    </row>
    <row r="83" spans="1:13" ht="14.4" hidden="1" customHeight="1" outlineLevel="1">
      <c r="A83" s="41"/>
      <c r="B83" s="41"/>
      <c r="C83" s="41"/>
      <c r="D83" s="41"/>
      <c r="E83" s="41"/>
      <c r="F83" s="41"/>
      <c r="G83" s="41"/>
      <c r="H83" s="41"/>
      <c r="I83" s="41"/>
      <c r="J83" s="41"/>
      <c r="K83" s="41"/>
      <c r="L83" s="41"/>
      <c r="M83" s="41"/>
    </row>
    <row r="84" spans="1:13" ht="15.6" hidden="1" customHeight="1" outlineLevel="1">
      <c r="A84" s="41"/>
      <c r="B84" s="41"/>
      <c r="C84" s="41"/>
      <c r="D84" s="41"/>
      <c r="E84" s="41"/>
      <c r="F84" s="41"/>
      <c r="G84" s="41"/>
      <c r="H84" s="41"/>
      <c r="I84" s="41"/>
      <c r="J84" s="41"/>
      <c r="K84" s="41"/>
      <c r="L84" s="41"/>
      <c r="M84" s="41"/>
    </row>
    <row r="85" spans="1:13" ht="15.6" hidden="1" customHeight="1" outlineLevel="1">
      <c r="A85" s="41"/>
      <c r="B85" s="41"/>
      <c r="C85" s="41"/>
      <c r="D85" s="41"/>
      <c r="E85" s="41"/>
      <c r="F85" s="41"/>
      <c r="G85" s="41"/>
      <c r="H85" s="41"/>
      <c r="I85" s="41"/>
      <c r="J85" s="41"/>
      <c r="K85" s="41"/>
      <c r="L85" s="41"/>
      <c r="M85" s="41"/>
    </row>
    <row r="86" spans="1:13" ht="15.6" hidden="1" customHeight="1" outlineLevel="1">
      <c r="A86" s="41"/>
      <c r="B86" s="41"/>
      <c r="C86" s="41"/>
      <c r="D86" s="41"/>
      <c r="E86" s="41"/>
      <c r="F86" s="41"/>
      <c r="G86" s="41"/>
      <c r="H86" s="41"/>
      <c r="I86" s="41"/>
      <c r="J86" s="41"/>
      <c r="K86" s="41"/>
      <c r="L86" s="41"/>
      <c r="M86" s="41"/>
    </row>
    <row r="87" spans="1:13" ht="15.6" hidden="1" customHeight="1" outlineLevel="1">
      <c r="A87" s="41"/>
      <c r="B87" s="41"/>
      <c r="C87" s="41"/>
      <c r="D87" s="41"/>
      <c r="E87" s="41"/>
      <c r="F87" s="41"/>
      <c r="G87" s="41"/>
      <c r="H87" s="41"/>
      <c r="I87" s="41"/>
      <c r="J87" s="41"/>
      <c r="K87" s="41"/>
      <c r="L87" s="41"/>
      <c r="M87" s="41"/>
    </row>
    <row r="88" spans="1:13" ht="16.2" hidden="1" customHeight="1" outlineLevel="1" thickBot="1">
      <c r="A88" s="41"/>
      <c r="B88" s="41"/>
      <c r="C88" s="41"/>
      <c r="D88" s="41"/>
      <c r="E88" s="41"/>
      <c r="F88" s="41"/>
      <c r="G88" s="41"/>
      <c r="H88" s="41"/>
      <c r="I88" s="41"/>
      <c r="J88" s="41"/>
      <c r="K88" s="41"/>
      <c r="L88" s="41"/>
      <c r="M88" s="41"/>
    </row>
    <row r="89" spans="1:13" ht="15" customHeight="1" collapsed="1">
      <c r="A89" s="41"/>
      <c r="B89" s="41"/>
      <c r="C89" s="41"/>
      <c r="D89" s="41"/>
      <c r="E89" s="41"/>
      <c r="F89" s="41"/>
      <c r="G89" s="41"/>
      <c r="H89" s="41"/>
      <c r="I89" s="41"/>
      <c r="J89" s="41"/>
      <c r="K89" s="41"/>
      <c r="L89" s="41"/>
      <c r="M89" s="41"/>
    </row>
    <row r="90" spans="1:13" ht="14.4" hidden="1" customHeight="1" outlineLevel="1">
      <c r="A90" s="41"/>
      <c r="B90" s="41"/>
      <c r="C90" s="41"/>
      <c r="D90" s="41"/>
      <c r="E90" s="41"/>
      <c r="F90" s="41"/>
      <c r="G90" s="41"/>
      <c r="H90" s="41"/>
      <c r="I90" s="41"/>
      <c r="J90" s="41"/>
      <c r="K90" s="41"/>
      <c r="L90" s="41"/>
      <c r="M90" s="41"/>
    </row>
    <row r="91" spans="1:13" ht="14.4" hidden="1" customHeight="1" outlineLevel="1">
      <c r="A91" s="41"/>
      <c r="B91" s="41"/>
      <c r="C91" s="41"/>
      <c r="D91" s="41"/>
      <c r="E91" s="41"/>
      <c r="F91" s="41"/>
      <c r="G91" s="41"/>
      <c r="H91" s="41"/>
      <c r="I91" s="41"/>
      <c r="J91" s="41"/>
      <c r="K91" s="41"/>
      <c r="L91" s="41"/>
      <c r="M91" s="41"/>
    </row>
    <row r="92" spans="1:13" ht="14.4" hidden="1" customHeight="1" outlineLevel="1">
      <c r="A92" s="41"/>
      <c r="B92" s="41"/>
      <c r="C92" s="41"/>
      <c r="D92" s="41"/>
      <c r="E92" s="41"/>
      <c r="F92" s="41"/>
      <c r="G92" s="41"/>
      <c r="H92" s="41"/>
      <c r="I92" s="41"/>
      <c r="J92" s="41"/>
      <c r="K92" s="41"/>
      <c r="L92" s="41"/>
      <c r="M92" s="41"/>
    </row>
    <row r="93" spans="1:13" ht="15.6" hidden="1" customHeight="1" outlineLevel="1">
      <c r="A93" s="41"/>
      <c r="B93" s="41"/>
      <c r="C93" s="41"/>
      <c r="D93" s="41"/>
      <c r="E93" s="41"/>
      <c r="F93" s="41"/>
      <c r="G93" s="41"/>
      <c r="H93" s="41"/>
      <c r="I93" s="41"/>
      <c r="J93" s="41"/>
      <c r="K93" s="41"/>
      <c r="L93" s="41"/>
      <c r="M93" s="41"/>
    </row>
    <row r="94" spans="1:13" ht="15.6" hidden="1" customHeight="1" outlineLevel="1">
      <c r="A94" s="41"/>
      <c r="B94" s="41"/>
      <c r="C94" s="41"/>
      <c r="D94" s="41"/>
      <c r="E94" s="41"/>
      <c r="F94" s="41"/>
      <c r="G94" s="41"/>
      <c r="H94" s="41"/>
      <c r="I94" s="41"/>
      <c r="J94" s="41"/>
      <c r="K94" s="41"/>
      <c r="L94" s="41"/>
      <c r="M94" s="41"/>
    </row>
    <row r="95" spans="1:13" ht="15.6" hidden="1" customHeight="1" outlineLevel="1">
      <c r="A95" s="41"/>
      <c r="B95" s="41"/>
      <c r="C95" s="41"/>
      <c r="D95" s="41"/>
      <c r="E95" s="41"/>
      <c r="F95" s="41"/>
      <c r="G95" s="41"/>
      <c r="H95" s="41"/>
      <c r="I95" s="41"/>
      <c r="J95" s="41"/>
      <c r="K95" s="41"/>
      <c r="L95" s="41"/>
      <c r="M95" s="41"/>
    </row>
    <row r="96" spans="1:13" ht="15.6" hidden="1" customHeight="1" outlineLevel="1">
      <c r="A96" s="41"/>
      <c r="B96" s="41"/>
      <c r="C96" s="41"/>
      <c r="D96" s="41"/>
      <c r="E96" s="41"/>
      <c r="F96" s="41"/>
      <c r="G96" s="41"/>
      <c r="H96" s="41"/>
      <c r="I96" s="41"/>
      <c r="J96" s="41"/>
      <c r="K96" s="41"/>
      <c r="L96" s="41"/>
      <c r="M96" s="41"/>
    </row>
    <row r="97" spans="1:13" ht="16.2" hidden="1" customHeight="1" outlineLevel="1" thickBot="1">
      <c r="A97" s="41"/>
      <c r="B97" s="41"/>
      <c r="C97" s="41"/>
      <c r="D97" s="41"/>
      <c r="E97" s="41"/>
      <c r="F97" s="41"/>
      <c r="G97" s="41"/>
      <c r="H97" s="41"/>
      <c r="I97" s="41"/>
      <c r="J97" s="41"/>
      <c r="K97" s="41"/>
      <c r="L97" s="41"/>
      <c r="M97" s="41"/>
    </row>
    <row r="98" spans="1:13" ht="15" customHeight="1" collapsed="1">
      <c r="A98" s="41"/>
      <c r="B98" s="41"/>
      <c r="C98" s="41"/>
      <c r="D98" s="41"/>
      <c r="E98" s="41"/>
      <c r="F98" s="41"/>
      <c r="G98" s="41"/>
      <c r="H98" s="41"/>
      <c r="I98" s="41"/>
      <c r="J98" s="41"/>
      <c r="K98" s="41"/>
      <c r="L98" s="41"/>
      <c r="M98" s="41"/>
    </row>
    <row r="99" spans="1:13" ht="14.4" hidden="1" customHeight="1" outlineLevel="1">
      <c r="A99" s="41"/>
      <c r="B99" s="41"/>
      <c r="C99" s="41"/>
      <c r="D99" s="41"/>
      <c r="E99" s="41"/>
      <c r="F99" s="41"/>
      <c r="G99" s="41"/>
      <c r="H99" s="41"/>
      <c r="I99" s="41"/>
      <c r="J99" s="41"/>
      <c r="K99" s="41"/>
      <c r="L99" s="41"/>
      <c r="M99" s="41"/>
    </row>
    <row r="100" spans="1:13" ht="14.4" hidden="1" customHeight="1" outlineLevel="1">
      <c r="A100" s="41"/>
      <c r="B100" s="41"/>
      <c r="C100" s="41"/>
      <c r="D100" s="41"/>
      <c r="E100" s="41"/>
      <c r="F100" s="41"/>
      <c r="G100" s="41"/>
      <c r="H100" s="41"/>
      <c r="I100" s="41"/>
      <c r="J100" s="41"/>
      <c r="K100" s="41"/>
      <c r="L100" s="41"/>
      <c r="M100" s="41"/>
    </row>
    <row r="101" spans="1:13" ht="14.4" hidden="1" customHeight="1" outlineLevel="1">
      <c r="A101" s="41"/>
      <c r="B101" s="41"/>
      <c r="C101" s="41"/>
      <c r="D101" s="41"/>
      <c r="E101" s="41"/>
      <c r="F101" s="41"/>
      <c r="G101" s="41"/>
      <c r="H101" s="41"/>
      <c r="I101" s="41"/>
      <c r="J101" s="41"/>
      <c r="K101" s="41"/>
      <c r="L101" s="41"/>
      <c r="M101" s="41"/>
    </row>
    <row r="102" spans="1:13" ht="15.6" hidden="1" customHeight="1" outlineLevel="1">
      <c r="A102" s="41"/>
      <c r="B102" s="41"/>
      <c r="C102" s="41"/>
      <c r="D102" s="41"/>
      <c r="E102" s="41"/>
      <c r="F102" s="41"/>
      <c r="G102" s="41"/>
      <c r="H102" s="41"/>
      <c r="I102" s="41"/>
      <c r="J102" s="41"/>
      <c r="K102" s="41"/>
      <c r="L102" s="41"/>
      <c r="M102" s="41"/>
    </row>
    <row r="103" spans="1:13" ht="15.6" hidden="1" customHeight="1" outlineLevel="1">
      <c r="A103" s="41"/>
      <c r="B103" s="41"/>
      <c r="C103" s="41"/>
      <c r="D103" s="41"/>
      <c r="E103" s="41"/>
      <c r="F103" s="41"/>
      <c r="G103" s="41"/>
      <c r="H103" s="41"/>
      <c r="I103" s="41"/>
      <c r="J103" s="41"/>
      <c r="K103" s="41"/>
      <c r="L103" s="41"/>
      <c r="M103" s="41"/>
    </row>
    <row r="104" spans="1:13" ht="15.6" hidden="1" customHeight="1" outlineLevel="1">
      <c r="A104" s="41"/>
      <c r="B104" s="41"/>
      <c r="C104" s="41"/>
      <c r="D104" s="41"/>
      <c r="E104" s="41"/>
      <c r="F104" s="41"/>
      <c r="G104" s="41"/>
      <c r="H104" s="41"/>
      <c r="I104" s="41"/>
      <c r="J104" s="41"/>
      <c r="K104" s="41"/>
      <c r="L104" s="41"/>
      <c r="M104" s="41"/>
    </row>
    <row r="105" spans="1:13" ht="15.6" hidden="1" customHeight="1" outlineLevel="1">
      <c r="A105" s="41"/>
      <c r="B105" s="41"/>
      <c r="C105" s="41"/>
      <c r="D105" s="41"/>
      <c r="E105" s="41"/>
      <c r="F105" s="41"/>
      <c r="G105" s="41"/>
      <c r="H105" s="41"/>
      <c r="I105" s="41"/>
      <c r="J105" s="41"/>
      <c r="K105" s="41"/>
      <c r="L105" s="41"/>
      <c r="M105" s="41"/>
    </row>
    <row r="106" spans="1:13" ht="16.2" hidden="1" customHeight="1" outlineLevel="1" thickBot="1">
      <c r="A106" s="41"/>
      <c r="B106" s="41"/>
      <c r="C106" s="41"/>
      <c r="D106" s="41"/>
      <c r="E106" s="41"/>
      <c r="F106" s="41"/>
      <c r="G106" s="41"/>
      <c r="H106" s="41"/>
      <c r="I106" s="41"/>
      <c r="J106" s="41"/>
      <c r="K106" s="41"/>
      <c r="L106" s="41"/>
      <c r="M106" s="41"/>
    </row>
    <row r="107" spans="1:13" collapsed="1">
      <c r="A107" s="41"/>
      <c r="B107" s="41"/>
      <c r="C107" s="41"/>
      <c r="D107" s="41"/>
      <c r="E107" s="41"/>
      <c r="F107" s="41"/>
      <c r="G107" s="41"/>
      <c r="H107" s="41"/>
      <c r="I107" s="41"/>
      <c r="J107" s="41"/>
      <c r="K107" s="41"/>
      <c r="L107" s="41"/>
      <c r="M107" s="41"/>
    </row>
    <row r="108" spans="1:13">
      <c r="A108" s="41"/>
      <c r="B108" s="41"/>
      <c r="C108" s="41"/>
      <c r="D108" s="41"/>
      <c r="E108" s="41"/>
      <c r="F108" s="41"/>
      <c r="G108" s="41"/>
      <c r="H108" s="41"/>
      <c r="I108" s="41"/>
      <c r="J108" s="41"/>
      <c r="K108" s="41"/>
      <c r="L108" s="41"/>
      <c r="M108" s="41"/>
    </row>
  </sheetData>
  <mergeCells count="10">
    <mergeCell ref="A45:D45"/>
    <mergeCell ref="A6:A7"/>
    <mergeCell ref="B6:U6"/>
    <mergeCell ref="A31:A33"/>
    <mergeCell ref="B31:M31"/>
    <mergeCell ref="B32:E32"/>
    <mergeCell ref="F32:H32"/>
    <mergeCell ref="I32:J32"/>
    <mergeCell ref="K32:L32"/>
    <mergeCell ref="M32:M33"/>
  </mergeCells>
  <pageMargins left="0.21" right="7.0000000000000007E-2" top="0.36" bottom="0.14000000000000001" header="0.3" footer="0.08"/>
  <pageSetup paperSize="8" scale="55"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66138-50DE-422A-BA9B-5BE008A334BE}">
  <dimension ref="A1:S7"/>
  <sheetViews>
    <sheetView zoomScale="60" zoomScaleNormal="85" workbookViewId="0">
      <selection activeCell="S1" sqref="S1:S1048576"/>
    </sheetView>
  </sheetViews>
  <sheetFormatPr defaultColWidth="18" defaultRowHeight="14.4"/>
  <cols>
    <col min="1" max="1" width="16.33203125" customWidth="1"/>
    <col min="19" max="19" width="0" hidden="1" customWidth="1"/>
  </cols>
  <sheetData>
    <row r="1" spans="1:19" ht="15" thickBot="1"/>
    <row r="2" spans="1:19">
      <c r="A2" s="3" t="s">
        <v>2</v>
      </c>
      <c r="B2" s="4">
        <v>45931</v>
      </c>
      <c r="C2" s="4">
        <v>45962</v>
      </c>
      <c r="D2" s="4">
        <v>45992</v>
      </c>
      <c r="E2" s="4">
        <v>46023</v>
      </c>
      <c r="F2" s="4">
        <v>46054</v>
      </c>
      <c r="G2" s="4">
        <v>46082</v>
      </c>
      <c r="H2" s="4">
        <v>46113</v>
      </c>
      <c r="I2" s="4">
        <v>46143</v>
      </c>
      <c r="J2" s="4">
        <v>46174</v>
      </c>
      <c r="K2" s="4">
        <v>46204</v>
      </c>
      <c r="L2" s="4">
        <v>46235</v>
      </c>
      <c r="M2" s="4">
        <v>46266</v>
      </c>
      <c r="N2" s="4">
        <v>46296</v>
      </c>
      <c r="O2" s="4">
        <v>46327</v>
      </c>
      <c r="P2" s="4">
        <v>46357</v>
      </c>
      <c r="Q2" s="4">
        <v>46388</v>
      </c>
      <c r="R2" s="4">
        <v>46419</v>
      </c>
      <c r="S2" s="4" t="s">
        <v>43</v>
      </c>
    </row>
    <row r="3" spans="1:19" ht="66.75" customHeight="1">
      <c r="A3" s="12" t="s">
        <v>3</v>
      </c>
      <c r="B3" s="6">
        <f>Tracking!B3</f>
        <v>6485619.2326947041</v>
      </c>
      <c r="C3" s="6">
        <f>Tracking!C3</f>
        <v>8564401.2326947041</v>
      </c>
      <c r="D3" s="6">
        <f>Tracking!D3</f>
        <v>5975619.232694705</v>
      </c>
      <c r="E3" s="6">
        <f>Tracking!E3</f>
        <v>5975619.232694705</v>
      </c>
      <c r="F3" s="6">
        <f>Tracking!F3</f>
        <v>5975619.232694705</v>
      </c>
      <c r="G3" s="6">
        <f>Tracking!G3</f>
        <v>5975619.232694705</v>
      </c>
      <c r="H3" s="6">
        <f>Tracking!H3</f>
        <v>5975619.232694705</v>
      </c>
      <c r="I3" s="6">
        <f>Tracking!I3</f>
        <v>5975619.232694705</v>
      </c>
      <c r="J3" s="6">
        <f>Tracking!J3</f>
        <v>5975619.232694705</v>
      </c>
      <c r="K3" s="6">
        <f>Tracking!K3</f>
        <v>5975619.232694705</v>
      </c>
      <c r="L3" s="6">
        <f>Tracking!L3</f>
        <v>5975619.232694705</v>
      </c>
      <c r="M3" s="6">
        <f>Tracking!M3</f>
        <v>5975619.232694705</v>
      </c>
      <c r="N3" s="6">
        <f>Tracking!N3</f>
        <v>5975619.232694705</v>
      </c>
      <c r="O3" s="6">
        <f>Tracking!O3</f>
        <v>5975619.232694705</v>
      </c>
      <c r="P3" s="6">
        <f>Tracking!P3</f>
        <v>5975619.232694705</v>
      </c>
      <c r="Q3" s="6">
        <f>Tracking!Q3</f>
        <v>5975619.232694705</v>
      </c>
      <c r="R3" s="6">
        <f>Tracking!R3</f>
        <v>5975619.232694705</v>
      </c>
      <c r="S3" s="87">
        <f>SUM(B3:R3)</f>
        <v>104684308.95580997</v>
      </c>
    </row>
    <row r="4" spans="1:19" ht="66.75" customHeight="1">
      <c r="A4" s="12" t="s">
        <v>46</v>
      </c>
      <c r="B4" s="6"/>
      <c r="C4" s="7">
        <f>B3+C3</f>
        <v>15050020.465389408</v>
      </c>
      <c r="D4" s="7">
        <f>C4+D3</f>
        <v>21025639.698084112</v>
      </c>
      <c r="E4" s="7">
        <f>D4+E3</f>
        <v>27001258.930778816</v>
      </c>
      <c r="F4" s="7">
        <f t="shared" ref="F4:R4" si="0">E4+F3</f>
        <v>32976878.16347352</v>
      </c>
      <c r="G4" s="7">
        <f t="shared" si="0"/>
        <v>38952497.396168225</v>
      </c>
      <c r="H4" s="7">
        <f t="shared" si="0"/>
        <v>44928116.628862932</v>
      </c>
      <c r="I4" s="7">
        <f t="shared" si="0"/>
        <v>50903735.86155764</v>
      </c>
      <c r="J4" s="7">
        <f t="shared" si="0"/>
        <v>56879355.094252348</v>
      </c>
      <c r="K4" s="7">
        <f t="shared" si="0"/>
        <v>62854974.326947056</v>
      </c>
      <c r="L4" s="7">
        <f t="shared" si="0"/>
        <v>68830593.559641764</v>
      </c>
      <c r="M4" s="7">
        <f t="shared" si="0"/>
        <v>74806212.792336464</v>
      </c>
      <c r="N4" s="7">
        <f t="shared" si="0"/>
        <v>80781832.025031164</v>
      </c>
      <c r="O4" s="7">
        <f t="shared" si="0"/>
        <v>86757451.257725865</v>
      </c>
      <c r="P4" s="7">
        <f t="shared" si="0"/>
        <v>92733070.490420565</v>
      </c>
      <c r="Q4" s="7">
        <f t="shared" si="0"/>
        <v>98708689.723115265</v>
      </c>
      <c r="R4" s="7">
        <f t="shared" si="0"/>
        <v>104684308.95580997</v>
      </c>
      <c r="S4" s="87"/>
    </row>
    <row r="5" spans="1:19" ht="66.75" customHeight="1">
      <c r="A5" s="12" t="s">
        <v>9</v>
      </c>
      <c r="B5" s="7">
        <f>Tracking!B24</f>
        <v>5650000</v>
      </c>
      <c r="C5" s="7">
        <f>Tracking!C24</f>
        <v>6735532</v>
      </c>
      <c r="D5" s="7">
        <f>Tracking!D24</f>
        <v>4993250</v>
      </c>
      <c r="E5" s="7">
        <f>Tracking!E24</f>
        <v>4930000</v>
      </c>
      <c r="F5" s="7">
        <f>Tracking!F24</f>
        <v>0</v>
      </c>
      <c r="G5" s="7">
        <f>Tracking!G24</f>
        <v>0</v>
      </c>
      <c r="H5" s="7">
        <f>Tracking!H24</f>
        <v>0</v>
      </c>
      <c r="I5" s="7">
        <f>Tracking!I24</f>
        <v>0</v>
      </c>
      <c r="J5" s="7">
        <f>Tracking!J24</f>
        <v>0</v>
      </c>
      <c r="K5" s="7">
        <f>Tracking!L24</f>
        <v>0</v>
      </c>
      <c r="L5" s="7">
        <f>Tracking!M24</f>
        <v>0</v>
      </c>
      <c r="M5" s="7">
        <f>Tracking!N24</f>
        <v>0</v>
      </c>
      <c r="N5" s="7">
        <f>Tracking!O24</f>
        <v>0</v>
      </c>
      <c r="O5" s="7">
        <f>Tracking!P24</f>
        <v>0</v>
      </c>
      <c r="P5" s="7">
        <f>Tracking!Q24</f>
        <v>0</v>
      </c>
      <c r="Q5" s="7">
        <f>Tracking!R24</f>
        <v>0</v>
      </c>
      <c r="R5" s="7">
        <f>Tracking!S24</f>
        <v>0</v>
      </c>
      <c r="S5" s="87">
        <f t="shared" ref="S5:S6" si="1">SUM(B5:R5)</f>
        <v>22308782</v>
      </c>
    </row>
    <row r="6" spans="1:19" ht="66.75" customHeight="1">
      <c r="A6" s="12" t="s">
        <v>47</v>
      </c>
      <c r="B6" s="7"/>
      <c r="C6" s="7">
        <f>B5+C5</f>
        <v>12385532</v>
      </c>
      <c r="D6" s="7">
        <f t="shared" ref="D6:E6" si="2">C6+D5</f>
        <v>17378782</v>
      </c>
      <c r="E6" s="7">
        <f t="shared" si="2"/>
        <v>22308782</v>
      </c>
      <c r="F6" s="7"/>
      <c r="G6" s="7"/>
      <c r="H6" s="7"/>
      <c r="I6" s="7"/>
      <c r="J6" s="7"/>
      <c r="K6" s="7"/>
      <c r="L6" s="7"/>
      <c r="M6" s="7"/>
      <c r="N6" s="7"/>
      <c r="O6" s="7"/>
      <c r="P6" s="7"/>
      <c r="Q6" s="7"/>
      <c r="R6" s="7"/>
      <c r="S6" s="87">
        <f t="shared" si="1"/>
        <v>52073096</v>
      </c>
    </row>
    <row r="7" spans="1:19">
      <c r="H7" s="63">
        <f>H4-H6</f>
        <v>44928116.628862932</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EFC70-13F2-4F30-B127-1CBE28546791}">
  <dimension ref="B4:Z40"/>
  <sheetViews>
    <sheetView topLeftCell="B6" zoomScale="54" zoomScaleNormal="85" zoomScaleSheetLayoutView="80" workbookViewId="0">
      <pane xSplit="4" ySplit="3" topLeftCell="F9" activePane="bottomRight" state="frozen"/>
      <selection activeCell="C8" sqref="C8"/>
      <selection pane="topRight" activeCell="C8" sqref="C8"/>
      <selection pane="bottomLeft" activeCell="C8" sqref="C8"/>
      <selection pane="bottomRight" activeCell="H19" sqref="H19:V19"/>
    </sheetView>
  </sheetViews>
  <sheetFormatPr defaultRowHeight="14.4"/>
  <cols>
    <col min="3" max="3" width="47.88671875" customWidth="1"/>
    <col min="4" max="4" width="35.33203125" customWidth="1"/>
    <col min="5" max="5" width="16.33203125" hidden="1" customWidth="1"/>
    <col min="6" max="22" width="27.5546875" customWidth="1"/>
    <col min="23" max="23" width="14.33203125" hidden="1" customWidth="1"/>
    <col min="24" max="24" width="24.44140625" bestFit="1" customWidth="1"/>
    <col min="25" max="25" width="18.109375" hidden="1" customWidth="1"/>
  </cols>
  <sheetData>
    <row r="4" spans="2:26">
      <c r="F4" s="42"/>
      <c r="H4" s="42"/>
      <c r="I4" s="42"/>
    </row>
    <row r="6" spans="2:26" ht="18">
      <c r="B6" s="257" t="s">
        <v>39</v>
      </c>
      <c r="C6" s="257"/>
      <c r="D6" s="257"/>
      <c r="E6" s="257"/>
      <c r="F6" s="257"/>
      <c r="G6" s="257"/>
      <c r="H6" s="257"/>
      <c r="I6" s="257"/>
      <c r="J6" s="257"/>
      <c r="K6" s="257"/>
      <c r="L6" s="257"/>
      <c r="M6" s="257"/>
      <c r="N6" s="257"/>
      <c r="O6" s="257"/>
      <c r="P6" s="257"/>
      <c r="Q6" s="257"/>
      <c r="R6" s="257"/>
      <c r="S6" s="257"/>
      <c r="T6" s="257"/>
      <c r="U6" s="257"/>
      <c r="V6" s="257"/>
      <c r="W6" s="257"/>
      <c r="X6" s="257"/>
    </row>
    <row r="7" spans="2:26" ht="18">
      <c r="B7" s="258"/>
      <c r="C7" s="258"/>
      <c r="D7" s="43"/>
      <c r="E7" s="44" t="s">
        <v>40</v>
      </c>
      <c r="F7" s="259" t="s">
        <v>103</v>
      </c>
      <c r="G7" s="259"/>
      <c r="H7" s="259"/>
      <c r="I7" s="259" t="s">
        <v>104</v>
      </c>
      <c r="J7" s="259"/>
      <c r="K7" s="259"/>
      <c r="L7" s="260" t="s">
        <v>106</v>
      </c>
      <c r="M7" s="261"/>
      <c r="N7" s="262"/>
      <c r="O7" s="259" t="s">
        <v>107</v>
      </c>
      <c r="P7" s="259"/>
      <c r="Q7" s="259"/>
      <c r="R7" s="259" t="s">
        <v>105</v>
      </c>
      <c r="S7" s="259"/>
      <c r="T7" s="259"/>
      <c r="U7" s="259" t="s">
        <v>108</v>
      </c>
      <c r="V7" s="259"/>
      <c r="W7" s="259"/>
      <c r="X7" s="45"/>
    </row>
    <row r="8" spans="2:26" ht="18">
      <c r="B8" s="46" t="s">
        <v>41</v>
      </c>
      <c r="C8" s="47" t="s">
        <v>42</v>
      </c>
      <c r="D8" s="47"/>
      <c r="E8" s="48">
        <v>44805</v>
      </c>
      <c r="F8" s="48">
        <v>45931</v>
      </c>
      <c r="G8" s="48">
        <v>45962</v>
      </c>
      <c r="H8" s="48">
        <v>45992</v>
      </c>
      <c r="I8" s="48">
        <v>46023</v>
      </c>
      <c r="J8" s="48">
        <v>46054</v>
      </c>
      <c r="K8" s="48">
        <v>46082</v>
      </c>
      <c r="L8" s="48">
        <v>46113</v>
      </c>
      <c r="M8" s="48">
        <v>46143</v>
      </c>
      <c r="N8" s="48">
        <v>46174</v>
      </c>
      <c r="O8" s="48">
        <v>46204</v>
      </c>
      <c r="P8" s="48">
        <v>46235</v>
      </c>
      <c r="Q8" s="48">
        <v>46266</v>
      </c>
      <c r="R8" s="48">
        <v>46296</v>
      </c>
      <c r="S8" s="48">
        <v>46327</v>
      </c>
      <c r="T8" s="48">
        <v>46357</v>
      </c>
      <c r="U8" s="48">
        <v>46388</v>
      </c>
      <c r="V8" s="48">
        <v>46419</v>
      </c>
      <c r="W8" s="48">
        <v>45373</v>
      </c>
      <c r="X8" s="49" t="s">
        <v>43</v>
      </c>
    </row>
    <row r="9" spans="2:26" ht="23.4">
      <c r="B9" s="50"/>
      <c r="C9" s="51"/>
      <c r="D9" s="52"/>
      <c r="E9" s="53"/>
      <c r="F9" s="54"/>
      <c r="G9" s="54"/>
      <c r="H9" s="54"/>
      <c r="I9" s="54"/>
      <c r="J9" s="54"/>
      <c r="K9" s="54"/>
      <c r="L9" s="54"/>
      <c r="M9" s="54"/>
      <c r="N9" s="54"/>
      <c r="O9" s="54"/>
      <c r="P9" s="54"/>
      <c r="Q9" s="54"/>
      <c r="R9" s="54"/>
      <c r="S9" s="54"/>
      <c r="T9" s="54"/>
      <c r="U9" s="54"/>
      <c r="V9" s="54"/>
      <c r="W9" s="54"/>
      <c r="X9" s="55"/>
      <c r="Y9" s="56">
        <f t="shared" ref="Y9:Y13" si="0">D9-X9</f>
        <v>0</v>
      </c>
      <c r="Z9" s="57"/>
    </row>
    <row r="10" spans="2:26" ht="23.4">
      <c r="B10" s="50">
        <v>1</v>
      </c>
      <c r="C10" s="51" t="s">
        <v>101</v>
      </c>
      <c r="D10" s="52">
        <f>Budget!E8</f>
        <v>2400000</v>
      </c>
      <c r="E10" s="53"/>
      <c r="F10" s="54">
        <f>$D$10/17</f>
        <v>141176.4705882353</v>
      </c>
      <c r="G10" s="54">
        <f t="shared" ref="G10:V10" si="1">$D$10/17</f>
        <v>141176.4705882353</v>
      </c>
      <c r="H10" s="54">
        <f t="shared" si="1"/>
        <v>141176.4705882353</v>
      </c>
      <c r="I10" s="54">
        <f t="shared" si="1"/>
        <v>141176.4705882353</v>
      </c>
      <c r="J10" s="54">
        <f t="shared" si="1"/>
        <v>141176.4705882353</v>
      </c>
      <c r="K10" s="54">
        <f t="shared" si="1"/>
        <v>141176.4705882353</v>
      </c>
      <c r="L10" s="54">
        <f t="shared" si="1"/>
        <v>141176.4705882353</v>
      </c>
      <c r="M10" s="54">
        <f t="shared" si="1"/>
        <v>141176.4705882353</v>
      </c>
      <c r="N10" s="54">
        <f t="shared" si="1"/>
        <v>141176.4705882353</v>
      </c>
      <c r="O10" s="54">
        <f t="shared" si="1"/>
        <v>141176.4705882353</v>
      </c>
      <c r="P10" s="54">
        <f t="shared" si="1"/>
        <v>141176.4705882353</v>
      </c>
      <c r="Q10" s="54">
        <f t="shared" si="1"/>
        <v>141176.4705882353</v>
      </c>
      <c r="R10" s="54">
        <f t="shared" si="1"/>
        <v>141176.4705882353</v>
      </c>
      <c r="S10" s="54">
        <f t="shared" si="1"/>
        <v>141176.4705882353</v>
      </c>
      <c r="T10" s="54">
        <f t="shared" si="1"/>
        <v>141176.4705882353</v>
      </c>
      <c r="U10" s="54">
        <f t="shared" si="1"/>
        <v>141176.4705882353</v>
      </c>
      <c r="V10" s="54">
        <f t="shared" si="1"/>
        <v>141176.4705882353</v>
      </c>
      <c r="W10" s="54"/>
      <c r="X10" s="55">
        <f>SUM(F10:V10)</f>
        <v>2399999.9999999991</v>
      </c>
      <c r="Y10" s="56"/>
      <c r="Z10" s="57"/>
    </row>
    <row r="11" spans="2:26" ht="23.4">
      <c r="B11" s="50">
        <v>2</v>
      </c>
      <c r="C11" s="51" t="s">
        <v>8</v>
      </c>
      <c r="D11" s="58">
        <f>Budget!E12</f>
        <v>57100726.955809996</v>
      </c>
      <c r="E11" s="53"/>
      <c r="F11" s="54">
        <f>$D11/17</f>
        <v>3358866.2915182351</v>
      </c>
      <c r="G11" s="54">
        <f t="shared" ref="G11:W25" si="2">$D11/17</f>
        <v>3358866.2915182351</v>
      </c>
      <c r="H11" s="54">
        <f t="shared" si="2"/>
        <v>3358866.2915182351</v>
      </c>
      <c r="I11" s="54">
        <f t="shared" si="2"/>
        <v>3358866.2915182351</v>
      </c>
      <c r="J11" s="54">
        <f t="shared" si="2"/>
        <v>3358866.2915182351</v>
      </c>
      <c r="K11" s="54">
        <f t="shared" si="2"/>
        <v>3358866.2915182351</v>
      </c>
      <c r="L11" s="54">
        <f t="shared" si="2"/>
        <v>3358866.2915182351</v>
      </c>
      <c r="M11" s="54">
        <f t="shared" si="2"/>
        <v>3358866.2915182351</v>
      </c>
      <c r="N11" s="54">
        <f t="shared" si="2"/>
        <v>3358866.2915182351</v>
      </c>
      <c r="O11" s="54">
        <f t="shared" si="2"/>
        <v>3358866.2915182351</v>
      </c>
      <c r="P11" s="54">
        <f t="shared" si="2"/>
        <v>3358866.2915182351</v>
      </c>
      <c r="Q11" s="54">
        <f t="shared" si="2"/>
        <v>3358866.2915182351</v>
      </c>
      <c r="R11" s="54">
        <f t="shared" si="2"/>
        <v>3358866.2915182351</v>
      </c>
      <c r="S11" s="54">
        <f t="shared" si="2"/>
        <v>3358866.2915182351</v>
      </c>
      <c r="T11" s="54">
        <f t="shared" si="2"/>
        <v>3358866.2915182351</v>
      </c>
      <c r="U11" s="54">
        <f t="shared" si="2"/>
        <v>3358866.2915182351</v>
      </c>
      <c r="V11" s="54">
        <f t="shared" si="2"/>
        <v>3358866.2915182351</v>
      </c>
      <c r="W11" s="54">
        <f t="shared" si="2"/>
        <v>3358866.2915182351</v>
      </c>
      <c r="X11" s="55">
        <f t="shared" ref="X11:X25" si="3">SUM(F11:V11)</f>
        <v>57100726.955809981</v>
      </c>
      <c r="Y11" s="56">
        <f t="shared" si="0"/>
        <v>0</v>
      </c>
      <c r="Z11" s="57"/>
    </row>
    <row r="12" spans="2:26" ht="23.4">
      <c r="B12" s="50">
        <f>B11+1</f>
        <v>3</v>
      </c>
      <c r="C12" s="51" t="s">
        <v>102</v>
      </c>
      <c r="D12" s="58">
        <f>Budget!E13</f>
        <v>35532</v>
      </c>
      <c r="E12" s="53"/>
      <c r="F12" s="54">
        <v>10000</v>
      </c>
      <c r="G12" s="54">
        <v>25532</v>
      </c>
      <c r="H12" s="54"/>
      <c r="I12" s="54"/>
      <c r="J12" s="54"/>
      <c r="K12" s="54"/>
      <c r="L12" s="54"/>
      <c r="M12" s="54"/>
      <c r="N12" s="54"/>
      <c r="O12" s="54"/>
      <c r="P12" s="54"/>
      <c r="Q12" s="54"/>
      <c r="R12" s="54"/>
      <c r="S12" s="54"/>
      <c r="T12" s="54"/>
      <c r="U12" s="54"/>
      <c r="V12" s="54"/>
      <c r="W12" s="54">
        <f t="shared" si="2"/>
        <v>2090.1176470588234</v>
      </c>
      <c r="X12" s="55">
        <f t="shared" si="3"/>
        <v>35532</v>
      </c>
      <c r="Y12" s="56">
        <f t="shared" si="0"/>
        <v>0</v>
      </c>
      <c r="Z12" s="57"/>
    </row>
    <row r="13" spans="2:26" ht="23.4">
      <c r="B13" s="50">
        <f t="shared" ref="B13" si="4">B12+1</f>
        <v>4</v>
      </c>
      <c r="C13" s="51" t="s">
        <v>81</v>
      </c>
      <c r="D13" s="58">
        <f>Budget!E14</f>
        <v>3600000</v>
      </c>
      <c r="E13" s="53"/>
      <c r="F13" s="54">
        <f t="shared" ref="F13:F25" si="5">$D13/17</f>
        <v>211764.70588235295</v>
      </c>
      <c r="G13" s="54">
        <f t="shared" si="2"/>
        <v>211764.70588235295</v>
      </c>
      <c r="H13" s="54">
        <f t="shared" si="2"/>
        <v>211764.70588235295</v>
      </c>
      <c r="I13" s="54">
        <f t="shared" si="2"/>
        <v>211764.70588235295</v>
      </c>
      <c r="J13" s="54">
        <f t="shared" si="2"/>
        <v>211764.70588235295</v>
      </c>
      <c r="K13" s="54">
        <f t="shared" si="2"/>
        <v>211764.70588235295</v>
      </c>
      <c r="L13" s="54">
        <f t="shared" si="2"/>
        <v>211764.70588235295</v>
      </c>
      <c r="M13" s="54">
        <f t="shared" si="2"/>
        <v>211764.70588235295</v>
      </c>
      <c r="N13" s="54">
        <f t="shared" si="2"/>
        <v>211764.70588235295</v>
      </c>
      <c r="O13" s="54">
        <f t="shared" si="2"/>
        <v>211764.70588235295</v>
      </c>
      <c r="P13" s="54">
        <f t="shared" si="2"/>
        <v>211764.70588235295</v>
      </c>
      <c r="Q13" s="54">
        <f t="shared" si="2"/>
        <v>211764.70588235295</v>
      </c>
      <c r="R13" s="54">
        <f t="shared" si="2"/>
        <v>211764.70588235295</v>
      </c>
      <c r="S13" s="54">
        <f t="shared" si="2"/>
        <v>211764.70588235295</v>
      </c>
      <c r="T13" s="54">
        <f t="shared" si="2"/>
        <v>211764.70588235295</v>
      </c>
      <c r="U13" s="54">
        <f t="shared" si="2"/>
        <v>211764.70588235295</v>
      </c>
      <c r="V13" s="54">
        <f t="shared" si="2"/>
        <v>211764.70588235295</v>
      </c>
      <c r="W13" s="54">
        <f t="shared" si="2"/>
        <v>211764.70588235295</v>
      </c>
      <c r="X13" s="55">
        <f t="shared" si="3"/>
        <v>3599999.9999999991</v>
      </c>
      <c r="Y13" s="56">
        <f t="shared" si="0"/>
        <v>0</v>
      </c>
      <c r="Z13" s="57"/>
    </row>
    <row r="14" spans="2:26" ht="23.4">
      <c r="B14" s="50">
        <v>3</v>
      </c>
      <c r="C14" s="51" t="s">
        <v>82</v>
      </c>
      <c r="D14" s="58">
        <f>Budget!E15</f>
        <v>1000000</v>
      </c>
      <c r="E14" s="53"/>
      <c r="F14" s="54">
        <v>500000</v>
      </c>
      <c r="G14" s="54">
        <v>500000</v>
      </c>
      <c r="H14" s="54"/>
      <c r="I14" s="54"/>
      <c r="J14" s="54"/>
      <c r="K14" s="54"/>
      <c r="L14" s="54"/>
      <c r="M14" s="54"/>
      <c r="N14" s="54"/>
      <c r="O14" s="54"/>
      <c r="P14" s="54"/>
      <c r="Q14" s="54"/>
      <c r="R14" s="54"/>
      <c r="S14" s="54"/>
      <c r="T14" s="54"/>
      <c r="U14" s="54"/>
      <c r="V14" s="54"/>
      <c r="W14" s="54">
        <f t="shared" si="2"/>
        <v>58823.529411764706</v>
      </c>
      <c r="X14" s="55">
        <f t="shared" si="3"/>
        <v>1000000</v>
      </c>
      <c r="Y14" s="56"/>
      <c r="Z14" s="57"/>
    </row>
    <row r="15" spans="2:26" ht="46.8">
      <c r="B15" s="50">
        <v>4</v>
      </c>
      <c r="C15" s="82" t="s">
        <v>83</v>
      </c>
      <c r="D15" s="58">
        <f>Budget!E16</f>
        <v>5000000</v>
      </c>
      <c r="E15" s="53"/>
      <c r="F15" s="54">
        <f t="shared" si="5"/>
        <v>294117.64705882355</v>
      </c>
      <c r="G15" s="54">
        <f t="shared" si="2"/>
        <v>294117.64705882355</v>
      </c>
      <c r="H15" s="54">
        <f t="shared" si="2"/>
        <v>294117.64705882355</v>
      </c>
      <c r="I15" s="54">
        <f t="shared" si="2"/>
        <v>294117.64705882355</v>
      </c>
      <c r="J15" s="54">
        <f t="shared" si="2"/>
        <v>294117.64705882355</v>
      </c>
      <c r="K15" s="54">
        <f t="shared" si="2"/>
        <v>294117.64705882355</v>
      </c>
      <c r="L15" s="54">
        <f t="shared" si="2"/>
        <v>294117.64705882355</v>
      </c>
      <c r="M15" s="54">
        <f t="shared" si="2"/>
        <v>294117.64705882355</v>
      </c>
      <c r="N15" s="54">
        <f t="shared" si="2"/>
        <v>294117.64705882355</v>
      </c>
      <c r="O15" s="54">
        <f t="shared" si="2"/>
        <v>294117.64705882355</v>
      </c>
      <c r="P15" s="54">
        <f t="shared" si="2"/>
        <v>294117.64705882355</v>
      </c>
      <c r="Q15" s="54">
        <f t="shared" si="2"/>
        <v>294117.64705882355</v>
      </c>
      <c r="R15" s="54">
        <f t="shared" si="2"/>
        <v>294117.64705882355</v>
      </c>
      <c r="S15" s="54">
        <f t="shared" si="2"/>
        <v>294117.64705882355</v>
      </c>
      <c r="T15" s="54">
        <f t="shared" si="2"/>
        <v>294117.64705882355</v>
      </c>
      <c r="U15" s="54">
        <f t="shared" si="2"/>
        <v>294117.64705882355</v>
      </c>
      <c r="V15" s="54">
        <f t="shared" si="2"/>
        <v>294117.64705882355</v>
      </c>
      <c r="W15" s="54">
        <f t="shared" si="2"/>
        <v>294117.64705882355</v>
      </c>
      <c r="X15" s="55">
        <f t="shared" si="3"/>
        <v>5000000</v>
      </c>
      <c r="Y15" s="56"/>
      <c r="Z15" s="57"/>
    </row>
    <row r="16" spans="2:26" ht="23.4">
      <c r="B16" s="50">
        <f t="shared" ref="B16:B25" si="6">B15+1</f>
        <v>5</v>
      </c>
      <c r="C16" s="51" t="s">
        <v>85</v>
      </c>
      <c r="D16" s="58">
        <f>Budget!E17</f>
        <v>0</v>
      </c>
      <c r="E16" s="53"/>
      <c r="F16" s="54">
        <f t="shared" si="5"/>
        <v>0</v>
      </c>
      <c r="G16" s="54">
        <f t="shared" si="2"/>
        <v>0</v>
      </c>
      <c r="H16" s="54">
        <f t="shared" si="2"/>
        <v>0</v>
      </c>
      <c r="I16" s="54">
        <f t="shared" si="2"/>
        <v>0</v>
      </c>
      <c r="J16" s="54">
        <f t="shared" si="2"/>
        <v>0</v>
      </c>
      <c r="K16" s="54">
        <f t="shared" si="2"/>
        <v>0</v>
      </c>
      <c r="L16" s="54">
        <f t="shared" si="2"/>
        <v>0</v>
      </c>
      <c r="M16" s="54">
        <f t="shared" si="2"/>
        <v>0</v>
      </c>
      <c r="N16" s="54">
        <f t="shared" si="2"/>
        <v>0</v>
      </c>
      <c r="O16" s="54">
        <f t="shared" si="2"/>
        <v>0</v>
      </c>
      <c r="P16" s="54">
        <f t="shared" si="2"/>
        <v>0</v>
      </c>
      <c r="Q16" s="54">
        <f t="shared" si="2"/>
        <v>0</v>
      </c>
      <c r="R16" s="54">
        <f t="shared" si="2"/>
        <v>0</v>
      </c>
      <c r="S16" s="54">
        <f t="shared" si="2"/>
        <v>0</v>
      </c>
      <c r="T16" s="54">
        <f t="shared" si="2"/>
        <v>0</v>
      </c>
      <c r="U16" s="54">
        <f t="shared" si="2"/>
        <v>0</v>
      </c>
      <c r="V16" s="54">
        <f t="shared" si="2"/>
        <v>0</v>
      </c>
      <c r="W16" s="54">
        <f t="shared" si="2"/>
        <v>0</v>
      </c>
      <c r="X16" s="55">
        <f t="shared" si="3"/>
        <v>0</v>
      </c>
      <c r="Y16" s="56"/>
      <c r="Z16" s="57"/>
    </row>
    <row r="17" spans="2:26" ht="23.4">
      <c r="B17" s="50">
        <f t="shared" si="6"/>
        <v>6</v>
      </c>
      <c r="C17" s="51" t="s">
        <v>87</v>
      </c>
      <c r="D17" s="58">
        <f>Budget!E18</f>
        <v>6000000</v>
      </c>
      <c r="E17" s="53"/>
      <c r="F17" s="54">
        <f t="shared" si="5"/>
        <v>352941.17647058825</v>
      </c>
      <c r="G17" s="54">
        <f t="shared" si="2"/>
        <v>352941.17647058825</v>
      </c>
      <c r="H17" s="54">
        <f t="shared" si="2"/>
        <v>352941.17647058825</v>
      </c>
      <c r="I17" s="54">
        <f t="shared" si="2"/>
        <v>352941.17647058825</v>
      </c>
      <c r="J17" s="54">
        <f t="shared" si="2"/>
        <v>352941.17647058825</v>
      </c>
      <c r="K17" s="54">
        <f t="shared" si="2"/>
        <v>352941.17647058825</v>
      </c>
      <c r="L17" s="54">
        <f t="shared" si="2"/>
        <v>352941.17647058825</v>
      </c>
      <c r="M17" s="54">
        <f t="shared" si="2"/>
        <v>352941.17647058825</v>
      </c>
      <c r="N17" s="54">
        <f t="shared" si="2"/>
        <v>352941.17647058825</v>
      </c>
      <c r="O17" s="54">
        <f t="shared" si="2"/>
        <v>352941.17647058825</v>
      </c>
      <c r="P17" s="54">
        <f t="shared" si="2"/>
        <v>352941.17647058825</v>
      </c>
      <c r="Q17" s="54">
        <f t="shared" si="2"/>
        <v>352941.17647058825</v>
      </c>
      <c r="R17" s="54">
        <f t="shared" si="2"/>
        <v>352941.17647058825</v>
      </c>
      <c r="S17" s="54">
        <f t="shared" si="2"/>
        <v>352941.17647058825</v>
      </c>
      <c r="T17" s="54">
        <f t="shared" si="2"/>
        <v>352941.17647058825</v>
      </c>
      <c r="U17" s="54">
        <f t="shared" si="2"/>
        <v>352941.17647058825</v>
      </c>
      <c r="V17" s="54">
        <f t="shared" si="2"/>
        <v>352941.17647058825</v>
      </c>
      <c r="W17" s="54">
        <f t="shared" si="2"/>
        <v>352941.17647058825</v>
      </c>
      <c r="X17" s="55">
        <f t="shared" si="3"/>
        <v>6000000</v>
      </c>
      <c r="Y17" s="56"/>
      <c r="Z17" s="57"/>
    </row>
    <row r="18" spans="2:26" ht="23.4">
      <c r="B18" s="50">
        <v>5</v>
      </c>
      <c r="C18" s="51" t="s">
        <v>88</v>
      </c>
      <c r="D18" s="58">
        <f>Budget!E19</f>
        <v>5000000</v>
      </c>
      <c r="E18" s="53"/>
      <c r="F18" s="54">
        <f t="shared" si="5"/>
        <v>294117.64705882355</v>
      </c>
      <c r="G18" s="54">
        <f t="shared" si="2"/>
        <v>294117.64705882355</v>
      </c>
      <c r="H18" s="54">
        <f t="shared" si="2"/>
        <v>294117.64705882355</v>
      </c>
      <c r="I18" s="54">
        <f t="shared" si="2"/>
        <v>294117.64705882355</v>
      </c>
      <c r="J18" s="54">
        <f t="shared" si="2"/>
        <v>294117.64705882355</v>
      </c>
      <c r="K18" s="54">
        <f t="shared" si="2"/>
        <v>294117.64705882355</v>
      </c>
      <c r="L18" s="54">
        <f t="shared" si="2"/>
        <v>294117.64705882355</v>
      </c>
      <c r="M18" s="54">
        <f t="shared" si="2"/>
        <v>294117.64705882355</v>
      </c>
      <c r="N18" s="54">
        <f t="shared" si="2"/>
        <v>294117.64705882355</v>
      </c>
      <c r="O18" s="54">
        <f t="shared" si="2"/>
        <v>294117.64705882355</v>
      </c>
      <c r="P18" s="54">
        <f t="shared" si="2"/>
        <v>294117.64705882355</v>
      </c>
      <c r="Q18" s="54">
        <f t="shared" si="2"/>
        <v>294117.64705882355</v>
      </c>
      <c r="R18" s="54">
        <f t="shared" si="2"/>
        <v>294117.64705882355</v>
      </c>
      <c r="S18" s="54">
        <f t="shared" si="2"/>
        <v>294117.64705882355</v>
      </c>
      <c r="T18" s="54">
        <f t="shared" si="2"/>
        <v>294117.64705882355</v>
      </c>
      <c r="U18" s="54">
        <f t="shared" si="2"/>
        <v>294117.64705882355</v>
      </c>
      <c r="V18" s="54">
        <f t="shared" si="2"/>
        <v>294117.64705882355</v>
      </c>
      <c r="W18" s="54">
        <f t="shared" si="2"/>
        <v>294117.64705882355</v>
      </c>
      <c r="X18" s="55">
        <f t="shared" si="3"/>
        <v>5000000</v>
      </c>
      <c r="Y18" s="56"/>
      <c r="Z18" s="57"/>
    </row>
    <row r="19" spans="2:26" ht="23.4">
      <c r="B19" s="50">
        <v>6</v>
      </c>
      <c r="C19" s="51" t="s">
        <v>89</v>
      </c>
      <c r="D19" s="58">
        <f>Budget!E20</f>
        <v>2063250</v>
      </c>
      <c r="E19" s="53"/>
      <c r="F19" s="54">
        <v>0</v>
      </c>
      <c r="G19" s="54">
        <v>2063250</v>
      </c>
      <c r="H19" s="54"/>
      <c r="I19" s="54"/>
      <c r="J19" s="54"/>
      <c r="K19" s="54"/>
      <c r="L19" s="54"/>
      <c r="M19" s="54"/>
      <c r="N19" s="54"/>
      <c r="O19" s="54"/>
      <c r="P19" s="54"/>
      <c r="Q19" s="54"/>
      <c r="R19" s="54"/>
      <c r="S19" s="54"/>
      <c r="T19" s="54"/>
      <c r="U19" s="54"/>
      <c r="V19" s="54"/>
      <c r="W19" s="54">
        <f t="shared" si="2"/>
        <v>121367.64705882352</v>
      </c>
      <c r="X19" s="55">
        <f t="shared" si="3"/>
        <v>2063250</v>
      </c>
      <c r="Y19" s="56"/>
      <c r="Z19" s="57"/>
    </row>
    <row r="20" spans="2:26" ht="23.4">
      <c r="B20" s="50">
        <f t="shared" ref="B20" si="7">B19+1</f>
        <v>7</v>
      </c>
      <c r="C20" s="51" t="s">
        <v>90</v>
      </c>
      <c r="D20" s="58">
        <f>Budget!E21</f>
        <v>1449000</v>
      </c>
      <c r="E20" s="53"/>
      <c r="F20" s="54">
        <f t="shared" si="5"/>
        <v>85235.294117647063</v>
      </c>
      <c r="G20" s="54">
        <f t="shared" si="2"/>
        <v>85235.294117647063</v>
      </c>
      <c r="H20" s="54">
        <f t="shared" si="2"/>
        <v>85235.294117647063</v>
      </c>
      <c r="I20" s="54">
        <f t="shared" si="2"/>
        <v>85235.294117647063</v>
      </c>
      <c r="J20" s="54">
        <f t="shared" si="2"/>
        <v>85235.294117647063</v>
      </c>
      <c r="K20" s="54">
        <f t="shared" si="2"/>
        <v>85235.294117647063</v>
      </c>
      <c r="L20" s="54">
        <f t="shared" si="2"/>
        <v>85235.294117647063</v>
      </c>
      <c r="M20" s="54">
        <f t="shared" si="2"/>
        <v>85235.294117647063</v>
      </c>
      <c r="N20" s="54">
        <f t="shared" si="2"/>
        <v>85235.294117647063</v>
      </c>
      <c r="O20" s="54">
        <f t="shared" si="2"/>
        <v>85235.294117647063</v>
      </c>
      <c r="P20" s="54">
        <f t="shared" si="2"/>
        <v>85235.294117647063</v>
      </c>
      <c r="Q20" s="54">
        <f t="shared" si="2"/>
        <v>85235.294117647063</v>
      </c>
      <c r="R20" s="54">
        <f t="shared" si="2"/>
        <v>85235.294117647063</v>
      </c>
      <c r="S20" s="54">
        <f t="shared" si="2"/>
        <v>85235.294117647063</v>
      </c>
      <c r="T20" s="54">
        <f t="shared" si="2"/>
        <v>85235.294117647063</v>
      </c>
      <c r="U20" s="54">
        <f t="shared" si="2"/>
        <v>85235.294117647063</v>
      </c>
      <c r="V20" s="54">
        <f t="shared" si="2"/>
        <v>85235.294117647063</v>
      </c>
      <c r="W20" s="54">
        <f t="shared" si="2"/>
        <v>85235.294117647063</v>
      </c>
      <c r="X20" s="55">
        <f t="shared" si="3"/>
        <v>1449000</v>
      </c>
      <c r="Y20" s="56"/>
      <c r="Z20" s="57"/>
    </row>
    <row r="21" spans="2:26" ht="23.4">
      <c r="B21" s="50">
        <f t="shared" si="6"/>
        <v>8</v>
      </c>
      <c r="C21" s="51" t="s">
        <v>91</v>
      </c>
      <c r="D21" s="58">
        <f>Budget!E22</f>
        <v>5258950</v>
      </c>
      <c r="E21" s="53"/>
      <c r="F21" s="54">
        <f t="shared" si="5"/>
        <v>309350</v>
      </c>
      <c r="G21" s="54">
        <f t="shared" si="2"/>
        <v>309350</v>
      </c>
      <c r="H21" s="54">
        <f t="shared" si="2"/>
        <v>309350</v>
      </c>
      <c r="I21" s="54">
        <f t="shared" si="2"/>
        <v>309350</v>
      </c>
      <c r="J21" s="54">
        <f t="shared" si="2"/>
        <v>309350</v>
      </c>
      <c r="K21" s="54">
        <f t="shared" si="2"/>
        <v>309350</v>
      </c>
      <c r="L21" s="54">
        <f t="shared" si="2"/>
        <v>309350</v>
      </c>
      <c r="M21" s="54">
        <f t="shared" si="2"/>
        <v>309350</v>
      </c>
      <c r="N21" s="54">
        <f t="shared" si="2"/>
        <v>309350</v>
      </c>
      <c r="O21" s="54">
        <f t="shared" si="2"/>
        <v>309350</v>
      </c>
      <c r="P21" s="54">
        <f t="shared" si="2"/>
        <v>309350</v>
      </c>
      <c r="Q21" s="54">
        <f t="shared" si="2"/>
        <v>309350</v>
      </c>
      <c r="R21" s="54">
        <f t="shared" si="2"/>
        <v>309350</v>
      </c>
      <c r="S21" s="54">
        <f t="shared" si="2"/>
        <v>309350</v>
      </c>
      <c r="T21" s="54">
        <f t="shared" si="2"/>
        <v>309350</v>
      </c>
      <c r="U21" s="54">
        <f t="shared" si="2"/>
        <v>309350</v>
      </c>
      <c r="V21" s="54">
        <f t="shared" si="2"/>
        <v>309350</v>
      </c>
      <c r="W21" s="54">
        <f t="shared" si="2"/>
        <v>309350</v>
      </c>
      <c r="X21" s="55">
        <f t="shared" si="3"/>
        <v>5258950</v>
      </c>
      <c r="Y21" s="56"/>
      <c r="Z21" s="57"/>
    </row>
    <row r="22" spans="2:26" ht="23.4">
      <c r="B22" s="50">
        <v>7</v>
      </c>
      <c r="C22" s="51" t="s">
        <v>93</v>
      </c>
      <c r="D22" s="58">
        <f>Budget!E23</f>
        <v>5258950</v>
      </c>
      <c r="E22" s="53"/>
      <c r="F22" s="54">
        <f t="shared" si="5"/>
        <v>309350</v>
      </c>
      <c r="G22" s="54">
        <f t="shared" si="2"/>
        <v>309350</v>
      </c>
      <c r="H22" s="54">
        <f t="shared" si="2"/>
        <v>309350</v>
      </c>
      <c r="I22" s="54">
        <f t="shared" si="2"/>
        <v>309350</v>
      </c>
      <c r="J22" s="54">
        <f t="shared" si="2"/>
        <v>309350</v>
      </c>
      <c r="K22" s="54">
        <f t="shared" si="2"/>
        <v>309350</v>
      </c>
      <c r="L22" s="54">
        <f t="shared" si="2"/>
        <v>309350</v>
      </c>
      <c r="M22" s="54">
        <f t="shared" si="2"/>
        <v>309350</v>
      </c>
      <c r="N22" s="54">
        <f t="shared" si="2"/>
        <v>309350</v>
      </c>
      <c r="O22" s="54">
        <f t="shared" si="2"/>
        <v>309350</v>
      </c>
      <c r="P22" s="54">
        <f t="shared" si="2"/>
        <v>309350</v>
      </c>
      <c r="Q22" s="54">
        <f t="shared" si="2"/>
        <v>309350</v>
      </c>
      <c r="R22" s="54">
        <f t="shared" si="2"/>
        <v>309350</v>
      </c>
      <c r="S22" s="54">
        <f t="shared" si="2"/>
        <v>309350</v>
      </c>
      <c r="T22" s="54">
        <f t="shared" si="2"/>
        <v>309350</v>
      </c>
      <c r="U22" s="54">
        <f t="shared" si="2"/>
        <v>309350</v>
      </c>
      <c r="V22" s="54">
        <f t="shared" si="2"/>
        <v>309350</v>
      </c>
      <c r="W22" s="54">
        <f t="shared" si="2"/>
        <v>309350</v>
      </c>
      <c r="X22" s="55">
        <f t="shared" si="3"/>
        <v>5258950</v>
      </c>
      <c r="Y22" s="56"/>
      <c r="Z22" s="57"/>
    </row>
    <row r="23" spans="2:26" ht="23.4">
      <c r="B23" s="50">
        <v>8</v>
      </c>
      <c r="C23" s="51" t="s">
        <v>94</v>
      </c>
      <c r="D23" s="58">
        <f>Budget!E24</f>
        <v>9146000</v>
      </c>
      <c r="E23" s="53"/>
      <c r="F23" s="54">
        <f t="shared" si="5"/>
        <v>538000</v>
      </c>
      <c r="G23" s="54">
        <f t="shared" si="2"/>
        <v>538000</v>
      </c>
      <c r="H23" s="54">
        <f t="shared" si="2"/>
        <v>538000</v>
      </c>
      <c r="I23" s="54">
        <f t="shared" si="2"/>
        <v>538000</v>
      </c>
      <c r="J23" s="54">
        <f t="shared" si="2"/>
        <v>538000</v>
      </c>
      <c r="K23" s="54">
        <f t="shared" si="2"/>
        <v>538000</v>
      </c>
      <c r="L23" s="54">
        <f t="shared" si="2"/>
        <v>538000</v>
      </c>
      <c r="M23" s="54">
        <f t="shared" si="2"/>
        <v>538000</v>
      </c>
      <c r="N23" s="54">
        <f t="shared" si="2"/>
        <v>538000</v>
      </c>
      <c r="O23" s="54">
        <f t="shared" si="2"/>
        <v>538000</v>
      </c>
      <c r="P23" s="54">
        <f t="shared" si="2"/>
        <v>538000</v>
      </c>
      <c r="Q23" s="54">
        <f t="shared" si="2"/>
        <v>538000</v>
      </c>
      <c r="R23" s="54">
        <f t="shared" si="2"/>
        <v>538000</v>
      </c>
      <c r="S23" s="54">
        <f t="shared" si="2"/>
        <v>538000</v>
      </c>
      <c r="T23" s="54">
        <f t="shared" si="2"/>
        <v>538000</v>
      </c>
      <c r="U23" s="54">
        <f t="shared" si="2"/>
        <v>538000</v>
      </c>
      <c r="V23" s="54">
        <f t="shared" si="2"/>
        <v>538000</v>
      </c>
      <c r="W23" s="54">
        <f t="shared" si="2"/>
        <v>538000</v>
      </c>
      <c r="X23" s="55">
        <f t="shared" si="3"/>
        <v>9146000</v>
      </c>
      <c r="Y23" s="56"/>
      <c r="Z23" s="57"/>
    </row>
    <row r="24" spans="2:26" ht="23.4">
      <c r="B24" s="50">
        <f t="shared" ref="B24" si="8">B23+1</f>
        <v>9</v>
      </c>
      <c r="C24" s="51" t="s">
        <v>95</v>
      </c>
      <c r="D24" s="58">
        <f>Budget!E25</f>
        <v>1143250</v>
      </c>
      <c r="E24" s="53"/>
      <c r="F24" s="54">
        <f t="shared" si="5"/>
        <v>67250</v>
      </c>
      <c r="G24" s="54">
        <f t="shared" si="2"/>
        <v>67250</v>
      </c>
      <c r="H24" s="54">
        <f t="shared" si="2"/>
        <v>67250</v>
      </c>
      <c r="I24" s="54">
        <f t="shared" si="2"/>
        <v>67250</v>
      </c>
      <c r="J24" s="54">
        <f t="shared" si="2"/>
        <v>67250</v>
      </c>
      <c r="K24" s="54">
        <f t="shared" si="2"/>
        <v>67250</v>
      </c>
      <c r="L24" s="54">
        <f t="shared" si="2"/>
        <v>67250</v>
      </c>
      <c r="M24" s="54">
        <f t="shared" si="2"/>
        <v>67250</v>
      </c>
      <c r="N24" s="54">
        <f t="shared" si="2"/>
        <v>67250</v>
      </c>
      <c r="O24" s="54">
        <f t="shared" si="2"/>
        <v>67250</v>
      </c>
      <c r="P24" s="54">
        <f t="shared" si="2"/>
        <v>67250</v>
      </c>
      <c r="Q24" s="54">
        <f t="shared" si="2"/>
        <v>67250</v>
      </c>
      <c r="R24" s="54">
        <f t="shared" si="2"/>
        <v>67250</v>
      </c>
      <c r="S24" s="54">
        <f t="shared" si="2"/>
        <v>67250</v>
      </c>
      <c r="T24" s="54">
        <f t="shared" si="2"/>
        <v>67250</v>
      </c>
      <c r="U24" s="54">
        <f t="shared" si="2"/>
        <v>67250</v>
      </c>
      <c r="V24" s="54">
        <f t="shared" si="2"/>
        <v>67250</v>
      </c>
      <c r="W24" s="54">
        <f t="shared" si="2"/>
        <v>67250</v>
      </c>
      <c r="X24" s="55">
        <f t="shared" si="3"/>
        <v>1143250</v>
      </c>
      <c r="Y24" s="56"/>
      <c r="Z24" s="57"/>
    </row>
    <row r="25" spans="2:26" ht="23.4">
      <c r="B25" s="50">
        <f t="shared" si="6"/>
        <v>10</v>
      </c>
      <c r="C25" s="51" t="s">
        <v>96</v>
      </c>
      <c r="D25" s="58">
        <f>Budget!E26</f>
        <v>228650</v>
      </c>
      <c r="E25" s="53"/>
      <c r="F25" s="54">
        <f t="shared" si="5"/>
        <v>13450</v>
      </c>
      <c r="G25" s="54">
        <f t="shared" si="2"/>
        <v>13450</v>
      </c>
      <c r="H25" s="54">
        <f t="shared" si="2"/>
        <v>13450</v>
      </c>
      <c r="I25" s="54">
        <f t="shared" si="2"/>
        <v>13450</v>
      </c>
      <c r="J25" s="54">
        <f t="shared" si="2"/>
        <v>13450</v>
      </c>
      <c r="K25" s="54">
        <f t="shared" si="2"/>
        <v>13450</v>
      </c>
      <c r="L25" s="54">
        <f t="shared" si="2"/>
        <v>13450</v>
      </c>
      <c r="M25" s="54">
        <f t="shared" si="2"/>
        <v>13450</v>
      </c>
      <c r="N25" s="54">
        <f t="shared" si="2"/>
        <v>13450</v>
      </c>
      <c r="O25" s="54">
        <f t="shared" si="2"/>
        <v>13450</v>
      </c>
      <c r="P25" s="54">
        <f t="shared" si="2"/>
        <v>13450</v>
      </c>
      <c r="Q25" s="54">
        <f t="shared" si="2"/>
        <v>13450</v>
      </c>
      <c r="R25" s="54">
        <f t="shared" si="2"/>
        <v>13450</v>
      </c>
      <c r="S25" s="54">
        <f t="shared" si="2"/>
        <v>13450</v>
      </c>
      <c r="T25" s="54">
        <f t="shared" si="2"/>
        <v>13450</v>
      </c>
      <c r="U25" s="54">
        <f t="shared" si="2"/>
        <v>13450</v>
      </c>
      <c r="V25" s="54">
        <f t="shared" si="2"/>
        <v>13450</v>
      </c>
      <c r="W25" s="54">
        <f t="shared" si="2"/>
        <v>13450</v>
      </c>
      <c r="X25" s="55">
        <f t="shared" si="3"/>
        <v>228650</v>
      </c>
      <c r="Y25" s="56"/>
      <c r="Z25" s="57"/>
    </row>
    <row r="26" spans="2:26" ht="23.4">
      <c r="B26" s="256" t="s">
        <v>44</v>
      </c>
      <c r="C26" s="256"/>
      <c r="D26" s="59">
        <f>SUM(D9:D25)</f>
        <v>104684308.95581</v>
      </c>
      <c r="E26" s="60">
        <v>0</v>
      </c>
      <c r="F26" s="55">
        <f t="shared" ref="F26:V26" si="9">SUM(F9:F25)</f>
        <v>6485619.2326947041</v>
      </c>
      <c r="G26" s="55">
        <f t="shared" si="9"/>
        <v>8564401.2326947041</v>
      </c>
      <c r="H26" s="55">
        <f t="shared" si="9"/>
        <v>5975619.232694705</v>
      </c>
      <c r="I26" s="55">
        <f t="shared" si="9"/>
        <v>5975619.232694705</v>
      </c>
      <c r="J26" s="55">
        <f t="shared" si="9"/>
        <v>5975619.232694705</v>
      </c>
      <c r="K26" s="55">
        <f t="shared" si="9"/>
        <v>5975619.232694705</v>
      </c>
      <c r="L26" s="55">
        <f t="shared" si="9"/>
        <v>5975619.232694705</v>
      </c>
      <c r="M26" s="55">
        <f t="shared" si="9"/>
        <v>5975619.232694705</v>
      </c>
      <c r="N26" s="55">
        <f t="shared" si="9"/>
        <v>5975619.232694705</v>
      </c>
      <c r="O26" s="55">
        <f t="shared" si="9"/>
        <v>5975619.232694705</v>
      </c>
      <c r="P26" s="55">
        <f t="shared" si="9"/>
        <v>5975619.232694705</v>
      </c>
      <c r="Q26" s="55">
        <f t="shared" si="9"/>
        <v>5975619.232694705</v>
      </c>
      <c r="R26" s="55">
        <f t="shared" si="9"/>
        <v>5975619.232694705</v>
      </c>
      <c r="S26" s="55">
        <f t="shared" si="9"/>
        <v>5975619.232694705</v>
      </c>
      <c r="T26" s="55">
        <f t="shared" si="9"/>
        <v>5975619.232694705</v>
      </c>
      <c r="U26" s="55">
        <f t="shared" si="9"/>
        <v>5975619.232694705</v>
      </c>
      <c r="V26" s="55">
        <f t="shared" si="9"/>
        <v>5975619.232694705</v>
      </c>
      <c r="W26" s="55"/>
      <c r="X26" s="55">
        <f t="shared" ref="X26" si="10">SUM(F26:W26)</f>
        <v>104684308.95580997</v>
      </c>
      <c r="Y26" s="57">
        <f>SUM(F26:W26)</f>
        <v>104684308.95580997</v>
      </c>
    </row>
    <row r="27" spans="2:26" ht="23.4">
      <c r="C27" s="61" t="s">
        <v>45</v>
      </c>
      <c r="D27" s="62"/>
    </row>
    <row r="28" spans="2:26" hidden="1">
      <c r="C28" t="e">
        <f>#REF!</f>
        <v>#REF!</v>
      </c>
    </row>
    <row r="36" spans="5:5">
      <c r="E36" s="63">
        <v>790000000</v>
      </c>
    </row>
    <row r="37" spans="5:5">
      <c r="E37" s="63">
        <v>549000000</v>
      </c>
    </row>
    <row r="39" spans="5:5" ht="24.75" customHeight="1"/>
    <row r="40" spans="5:5" ht="24" customHeight="1"/>
  </sheetData>
  <mergeCells count="9">
    <mergeCell ref="B26:C26"/>
    <mergeCell ref="B6:X6"/>
    <mergeCell ref="B7:C7"/>
    <mergeCell ref="F7:H7"/>
    <mergeCell ref="I7:K7"/>
    <mergeCell ref="L7:N7"/>
    <mergeCell ref="O7:Q7"/>
    <mergeCell ref="R7:T7"/>
    <mergeCell ref="U7:W7"/>
  </mergeCells>
  <phoneticPr fontId="22" type="noConversion"/>
  <printOptions horizontalCentered="1" verticalCentered="1"/>
  <pageMargins left="0.70866141732283472" right="0.70866141732283472" top="0.74803149606299213" bottom="0.74803149606299213" header="0.31496062992125984" footer="0.31496062992125984"/>
  <pageSetup paperSize="8" scale="51" fitToHeight="0" orientation="landscape" horizontalDpi="4294967293"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D7285-98BB-44AC-AD85-C2B9C650705B}">
  <sheetPr>
    <tabColor theme="8" tint="-0.499984740745262"/>
  </sheetPr>
  <dimension ref="B1:O56"/>
  <sheetViews>
    <sheetView view="pageBreakPreview" topLeftCell="A14" zoomScale="89" zoomScaleNormal="55" zoomScaleSheetLayoutView="70" workbookViewId="0">
      <selection activeCell="C39" sqref="C39:D41"/>
    </sheetView>
  </sheetViews>
  <sheetFormatPr defaultColWidth="8.77734375" defaultRowHeight="13.8"/>
  <cols>
    <col min="1" max="1" width="8.77734375" style="64"/>
    <col min="2" max="2" width="8.88671875" style="79" bestFit="1" customWidth="1"/>
    <col min="3" max="3" width="51.33203125" style="64" bestFit="1" customWidth="1"/>
    <col min="4" max="4" width="28.77734375" style="64" customWidth="1"/>
    <col min="5" max="5" width="24.109375" style="80" bestFit="1" customWidth="1"/>
    <col min="6" max="6" width="25.44140625" style="80" bestFit="1" customWidth="1"/>
    <col min="7" max="7" width="21.77734375" style="80" bestFit="1" customWidth="1"/>
    <col min="8" max="8" width="18.5546875" style="80" customWidth="1"/>
    <col min="9" max="9" width="16.33203125" style="80" customWidth="1"/>
    <col min="10" max="10" width="13" style="81" customWidth="1"/>
    <col min="11" max="11" width="12.6640625" style="80" customWidth="1"/>
    <col min="12" max="12" width="13.33203125" style="80" bestFit="1" customWidth="1"/>
    <col min="13" max="13" width="11.5546875" style="80" customWidth="1"/>
    <col min="14" max="14" width="11.88671875" style="80" bestFit="1" customWidth="1"/>
    <col min="15" max="15" width="17.77734375" style="80" customWidth="1"/>
    <col min="16" max="17" width="8.77734375" style="64"/>
    <col min="18" max="18" width="29.109375" style="64" customWidth="1"/>
    <col min="19" max="19" width="8.77734375" style="64"/>
    <col min="20" max="20" width="30.21875" style="64" customWidth="1"/>
    <col min="21" max="257" width="8.77734375" style="64"/>
    <col min="258" max="258" width="8.88671875" style="64" bestFit="1" customWidth="1"/>
    <col min="259" max="259" width="51.33203125" style="64" bestFit="1" customWidth="1"/>
    <col min="260" max="260" width="28.77734375" style="64" customWidth="1"/>
    <col min="261" max="261" width="24.109375" style="64" bestFit="1" customWidth="1"/>
    <col min="262" max="262" width="25.44140625" style="64" bestFit="1" customWidth="1"/>
    <col min="263" max="263" width="21.77734375" style="64" bestFit="1" customWidth="1"/>
    <col min="264" max="264" width="18.5546875" style="64" customWidth="1"/>
    <col min="265" max="265" width="16.33203125" style="64" customWidth="1"/>
    <col min="266" max="266" width="13" style="64" customWidth="1"/>
    <col min="267" max="267" width="12.6640625" style="64" customWidth="1"/>
    <col min="268" max="268" width="13.33203125" style="64" bestFit="1" customWidth="1"/>
    <col min="269" max="269" width="11.5546875" style="64" customWidth="1"/>
    <col min="270" max="270" width="11.88671875" style="64" bestFit="1" customWidth="1"/>
    <col min="271" max="271" width="17.77734375" style="64" customWidth="1"/>
    <col min="272" max="273" width="8.77734375" style="64"/>
    <col min="274" max="274" width="29.109375" style="64" customWidth="1"/>
    <col min="275" max="275" width="8.77734375" style="64"/>
    <col min="276" max="276" width="30.21875" style="64" customWidth="1"/>
    <col min="277" max="513" width="8.77734375" style="64"/>
    <col min="514" max="514" width="8.88671875" style="64" bestFit="1" customWidth="1"/>
    <col min="515" max="515" width="51.33203125" style="64" bestFit="1" customWidth="1"/>
    <col min="516" max="516" width="28.77734375" style="64" customWidth="1"/>
    <col min="517" max="517" width="24.109375" style="64" bestFit="1" customWidth="1"/>
    <col min="518" max="518" width="25.44140625" style="64" bestFit="1" customWidth="1"/>
    <col min="519" max="519" width="21.77734375" style="64" bestFit="1" customWidth="1"/>
    <col min="520" max="520" width="18.5546875" style="64" customWidth="1"/>
    <col min="521" max="521" width="16.33203125" style="64" customWidth="1"/>
    <col min="522" max="522" width="13" style="64" customWidth="1"/>
    <col min="523" max="523" width="12.6640625" style="64" customWidth="1"/>
    <col min="524" max="524" width="13.33203125" style="64" bestFit="1" customWidth="1"/>
    <col min="525" max="525" width="11.5546875" style="64" customWidth="1"/>
    <col min="526" max="526" width="11.88671875" style="64" bestFit="1" customWidth="1"/>
    <col min="527" max="527" width="17.77734375" style="64" customWidth="1"/>
    <col min="528" max="529" width="8.77734375" style="64"/>
    <col min="530" max="530" width="29.109375" style="64" customWidth="1"/>
    <col min="531" max="531" width="8.77734375" style="64"/>
    <col min="532" max="532" width="30.21875" style="64" customWidth="1"/>
    <col min="533" max="769" width="8.77734375" style="64"/>
    <col min="770" max="770" width="8.88671875" style="64" bestFit="1" customWidth="1"/>
    <col min="771" max="771" width="51.33203125" style="64" bestFit="1" customWidth="1"/>
    <col min="772" max="772" width="28.77734375" style="64" customWidth="1"/>
    <col min="773" max="773" width="24.109375" style="64" bestFit="1" customWidth="1"/>
    <col min="774" max="774" width="25.44140625" style="64" bestFit="1" customWidth="1"/>
    <col min="775" max="775" width="21.77734375" style="64" bestFit="1" customWidth="1"/>
    <col min="776" max="776" width="18.5546875" style="64" customWidth="1"/>
    <col min="777" max="777" width="16.33203125" style="64" customWidth="1"/>
    <col min="778" max="778" width="13" style="64" customWidth="1"/>
    <col min="779" max="779" width="12.6640625" style="64" customWidth="1"/>
    <col min="780" max="780" width="13.33203125" style="64" bestFit="1" customWidth="1"/>
    <col min="781" max="781" width="11.5546875" style="64" customWidth="1"/>
    <col min="782" max="782" width="11.88671875" style="64" bestFit="1" customWidth="1"/>
    <col min="783" max="783" width="17.77734375" style="64" customWidth="1"/>
    <col min="784" max="785" width="8.77734375" style="64"/>
    <col min="786" max="786" width="29.109375" style="64" customWidth="1"/>
    <col min="787" max="787" width="8.77734375" style="64"/>
    <col min="788" max="788" width="30.21875" style="64" customWidth="1"/>
    <col min="789" max="1025" width="8.77734375" style="64"/>
    <col min="1026" max="1026" width="8.88671875" style="64" bestFit="1" customWidth="1"/>
    <col min="1027" max="1027" width="51.33203125" style="64" bestFit="1" customWidth="1"/>
    <col min="1028" max="1028" width="28.77734375" style="64" customWidth="1"/>
    <col min="1029" max="1029" width="24.109375" style="64" bestFit="1" customWidth="1"/>
    <col min="1030" max="1030" width="25.44140625" style="64" bestFit="1" customWidth="1"/>
    <col min="1031" max="1031" width="21.77734375" style="64" bestFit="1" customWidth="1"/>
    <col min="1032" max="1032" width="18.5546875" style="64" customWidth="1"/>
    <col min="1033" max="1033" width="16.33203125" style="64" customWidth="1"/>
    <col min="1034" max="1034" width="13" style="64" customWidth="1"/>
    <col min="1035" max="1035" width="12.6640625" style="64" customWidth="1"/>
    <col min="1036" max="1036" width="13.33203125" style="64" bestFit="1" customWidth="1"/>
    <col min="1037" max="1037" width="11.5546875" style="64" customWidth="1"/>
    <col min="1038" max="1038" width="11.88671875" style="64" bestFit="1" customWidth="1"/>
    <col min="1039" max="1039" width="17.77734375" style="64" customWidth="1"/>
    <col min="1040" max="1041" width="8.77734375" style="64"/>
    <col min="1042" max="1042" width="29.109375" style="64" customWidth="1"/>
    <col min="1043" max="1043" width="8.77734375" style="64"/>
    <col min="1044" max="1044" width="30.21875" style="64" customWidth="1"/>
    <col min="1045" max="1281" width="8.77734375" style="64"/>
    <col min="1282" max="1282" width="8.88671875" style="64" bestFit="1" customWidth="1"/>
    <col min="1283" max="1283" width="51.33203125" style="64" bestFit="1" customWidth="1"/>
    <col min="1284" max="1284" width="28.77734375" style="64" customWidth="1"/>
    <col min="1285" max="1285" width="24.109375" style="64" bestFit="1" customWidth="1"/>
    <col min="1286" max="1286" width="25.44140625" style="64" bestFit="1" customWidth="1"/>
    <col min="1287" max="1287" width="21.77734375" style="64" bestFit="1" customWidth="1"/>
    <col min="1288" max="1288" width="18.5546875" style="64" customWidth="1"/>
    <col min="1289" max="1289" width="16.33203125" style="64" customWidth="1"/>
    <col min="1290" max="1290" width="13" style="64" customWidth="1"/>
    <col min="1291" max="1291" width="12.6640625" style="64" customWidth="1"/>
    <col min="1292" max="1292" width="13.33203125" style="64" bestFit="1" customWidth="1"/>
    <col min="1293" max="1293" width="11.5546875" style="64" customWidth="1"/>
    <col min="1294" max="1294" width="11.88671875" style="64" bestFit="1" customWidth="1"/>
    <col min="1295" max="1295" width="17.77734375" style="64" customWidth="1"/>
    <col min="1296" max="1297" width="8.77734375" style="64"/>
    <col min="1298" max="1298" width="29.109375" style="64" customWidth="1"/>
    <col min="1299" max="1299" width="8.77734375" style="64"/>
    <col min="1300" max="1300" width="30.21875" style="64" customWidth="1"/>
    <col min="1301" max="1537" width="8.77734375" style="64"/>
    <col min="1538" max="1538" width="8.88671875" style="64" bestFit="1" customWidth="1"/>
    <col min="1539" max="1539" width="51.33203125" style="64" bestFit="1" customWidth="1"/>
    <col min="1540" max="1540" width="28.77734375" style="64" customWidth="1"/>
    <col min="1541" max="1541" width="24.109375" style="64" bestFit="1" customWidth="1"/>
    <col min="1542" max="1542" width="25.44140625" style="64" bestFit="1" customWidth="1"/>
    <col min="1543" max="1543" width="21.77734375" style="64" bestFit="1" customWidth="1"/>
    <col min="1544" max="1544" width="18.5546875" style="64" customWidth="1"/>
    <col min="1545" max="1545" width="16.33203125" style="64" customWidth="1"/>
    <col min="1546" max="1546" width="13" style="64" customWidth="1"/>
    <col min="1547" max="1547" width="12.6640625" style="64" customWidth="1"/>
    <col min="1548" max="1548" width="13.33203125" style="64" bestFit="1" customWidth="1"/>
    <col min="1549" max="1549" width="11.5546875" style="64" customWidth="1"/>
    <col min="1550" max="1550" width="11.88671875" style="64" bestFit="1" customWidth="1"/>
    <col min="1551" max="1551" width="17.77734375" style="64" customWidth="1"/>
    <col min="1552" max="1553" width="8.77734375" style="64"/>
    <col min="1554" max="1554" width="29.109375" style="64" customWidth="1"/>
    <col min="1555" max="1555" width="8.77734375" style="64"/>
    <col min="1556" max="1556" width="30.21875" style="64" customWidth="1"/>
    <col min="1557" max="1793" width="8.77734375" style="64"/>
    <col min="1794" max="1794" width="8.88671875" style="64" bestFit="1" customWidth="1"/>
    <col min="1795" max="1795" width="51.33203125" style="64" bestFit="1" customWidth="1"/>
    <col min="1796" max="1796" width="28.77734375" style="64" customWidth="1"/>
    <col min="1797" max="1797" width="24.109375" style="64" bestFit="1" customWidth="1"/>
    <col min="1798" max="1798" width="25.44140625" style="64" bestFit="1" customWidth="1"/>
    <col min="1799" max="1799" width="21.77734375" style="64" bestFit="1" customWidth="1"/>
    <col min="1800" max="1800" width="18.5546875" style="64" customWidth="1"/>
    <col min="1801" max="1801" width="16.33203125" style="64" customWidth="1"/>
    <col min="1802" max="1802" width="13" style="64" customWidth="1"/>
    <col min="1803" max="1803" width="12.6640625" style="64" customWidth="1"/>
    <col min="1804" max="1804" width="13.33203125" style="64" bestFit="1" customWidth="1"/>
    <col min="1805" max="1805" width="11.5546875" style="64" customWidth="1"/>
    <col min="1806" max="1806" width="11.88671875" style="64" bestFit="1" customWidth="1"/>
    <col min="1807" max="1807" width="17.77734375" style="64" customWidth="1"/>
    <col min="1808" max="1809" width="8.77734375" style="64"/>
    <col min="1810" max="1810" width="29.109375" style="64" customWidth="1"/>
    <col min="1811" max="1811" width="8.77734375" style="64"/>
    <col min="1812" max="1812" width="30.21875" style="64" customWidth="1"/>
    <col min="1813" max="2049" width="8.77734375" style="64"/>
    <col min="2050" max="2050" width="8.88671875" style="64" bestFit="1" customWidth="1"/>
    <col min="2051" max="2051" width="51.33203125" style="64" bestFit="1" customWidth="1"/>
    <col min="2052" max="2052" width="28.77734375" style="64" customWidth="1"/>
    <col min="2053" max="2053" width="24.109375" style="64" bestFit="1" customWidth="1"/>
    <col min="2054" max="2054" width="25.44140625" style="64" bestFit="1" customWidth="1"/>
    <col min="2055" max="2055" width="21.77734375" style="64" bestFit="1" customWidth="1"/>
    <col min="2056" max="2056" width="18.5546875" style="64" customWidth="1"/>
    <col min="2057" max="2057" width="16.33203125" style="64" customWidth="1"/>
    <col min="2058" max="2058" width="13" style="64" customWidth="1"/>
    <col min="2059" max="2059" width="12.6640625" style="64" customWidth="1"/>
    <col min="2060" max="2060" width="13.33203125" style="64" bestFit="1" customWidth="1"/>
    <col min="2061" max="2061" width="11.5546875" style="64" customWidth="1"/>
    <col min="2062" max="2062" width="11.88671875" style="64" bestFit="1" customWidth="1"/>
    <col min="2063" max="2063" width="17.77734375" style="64" customWidth="1"/>
    <col min="2064" max="2065" width="8.77734375" style="64"/>
    <col min="2066" max="2066" width="29.109375" style="64" customWidth="1"/>
    <col min="2067" max="2067" width="8.77734375" style="64"/>
    <col min="2068" max="2068" width="30.21875" style="64" customWidth="1"/>
    <col min="2069" max="2305" width="8.77734375" style="64"/>
    <col min="2306" max="2306" width="8.88671875" style="64" bestFit="1" customWidth="1"/>
    <col min="2307" max="2307" width="51.33203125" style="64" bestFit="1" customWidth="1"/>
    <col min="2308" max="2308" width="28.77734375" style="64" customWidth="1"/>
    <col min="2309" max="2309" width="24.109375" style="64" bestFit="1" customWidth="1"/>
    <col min="2310" max="2310" width="25.44140625" style="64" bestFit="1" customWidth="1"/>
    <col min="2311" max="2311" width="21.77734375" style="64" bestFit="1" customWidth="1"/>
    <col min="2312" max="2312" width="18.5546875" style="64" customWidth="1"/>
    <col min="2313" max="2313" width="16.33203125" style="64" customWidth="1"/>
    <col min="2314" max="2314" width="13" style="64" customWidth="1"/>
    <col min="2315" max="2315" width="12.6640625" style="64" customWidth="1"/>
    <col min="2316" max="2316" width="13.33203125" style="64" bestFit="1" customWidth="1"/>
    <col min="2317" max="2317" width="11.5546875" style="64" customWidth="1"/>
    <col min="2318" max="2318" width="11.88671875" style="64" bestFit="1" customWidth="1"/>
    <col min="2319" max="2319" width="17.77734375" style="64" customWidth="1"/>
    <col min="2320" max="2321" width="8.77734375" style="64"/>
    <col min="2322" max="2322" width="29.109375" style="64" customWidth="1"/>
    <col min="2323" max="2323" width="8.77734375" style="64"/>
    <col min="2324" max="2324" width="30.21875" style="64" customWidth="1"/>
    <col min="2325" max="2561" width="8.77734375" style="64"/>
    <col min="2562" max="2562" width="8.88671875" style="64" bestFit="1" customWidth="1"/>
    <col min="2563" max="2563" width="51.33203125" style="64" bestFit="1" customWidth="1"/>
    <col min="2564" max="2564" width="28.77734375" style="64" customWidth="1"/>
    <col min="2565" max="2565" width="24.109375" style="64" bestFit="1" customWidth="1"/>
    <col min="2566" max="2566" width="25.44140625" style="64" bestFit="1" customWidth="1"/>
    <col min="2567" max="2567" width="21.77734375" style="64" bestFit="1" customWidth="1"/>
    <col min="2568" max="2568" width="18.5546875" style="64" customWidth="1"/>
    <col min="2569" max="2569" width="16.33203125" style="64" customWidth="1"/>
    <col min="2570" max="2570" width="13" style="64" customWidth="1"/>
    <col min="2571" max="2571" width="12.6640625" style="64" customWidth="1"/>
    <col min="2572" max="2572" width="13.33203125" style="64" bestFit="1" customWidth="1"/>
    <col min="2573" max="2573" width="11.5546875" style="64" customWidth="1"/>
    <col min="2574" max="2574" width="11.88671875" style="64" bestFit="1" customWidth="1"/>
    <col min="2575" max="2575" width="17.77734375" style="64" customWidth="1"/>
    <col min="2576" max="2577" width="8.77734375" style="64"/>
    <col min="2578" max="2578" width="29.109375" style="64" customWidth="1"/>
    <col min="2579" max="2579" width="8.77734375" style="64"/>
    <col min="2580" max="2580" width="30.21875" style="64" customWidth="1"/>
    <col min="2581" max="2817" width="8.77734375" style="64"/>
    <col min="2818" max="2818" width="8.88671875" style="64" bestFit="1" customWidth="1"/>
    <col min="2819" max="2819" width="51.33203125" style="64" bestFit="1" customWidth="1"/>
    <col min="2820" max="2820" width="28.77734375" style="64" customWidth="1"/>
    <col min="2821" max="2821" width="24.109375" style="64" bestFit="1" customWidth="1"/>
    <col min="2822" max="2822" width="25.44140625" style="64" bestFit="1" customWidth="1"/>
    <col min="2823" max="2823" width="21.77734375" style="64" bestFit="1" customWidth="1"/>
    <col min="2824" max="2824" width="18.5546875" style="64" customWidth="1"/>
    <col min="2825" max="2825" width="16.33203125" style="64" customWidth="1"/>
    <col min="2826" max="2826" width="13" style="64" customWidth="1"/>
    <col min="2827" max="2827" width="12.6640625" style="64" customWidth="1"/>
    <col min="2828" max="2828" width="13.33203125" style="64" bestFit="1" customWidth="1"/>
    <col min="2829" max="2829" width="11.5546875" style="64" customWidth="1"/>
    <col min="2830" max="2830" width="11.88671875" style="64" bestFit="1" customWidth="1"/>
    <col min="2831" max="2831" width="17.77734375" style="64" customWidth="1"/>
    <col min="2832" max="2833" width="8.77734375" style="64"/>
    <col min="2834" max="2834" width="29.109375" style="64" customWidth="1"/>
    <col min="2835" max="2835" width="8.77734375" style="64"/>
    <col min="2836" max="2836" width="30.21875" style="64" customWidth="1"/>
    <col min="2837" max="3073" width="8.77734375" style="64"/>
    <col min="3074" max="3074" width="8.88671875" style="64" bestFit="1" customWidth="1"/>
    <col min="3075" max="3075" width="51.33203125" style="64" bestFit="1" customWidth="1"/>
    <col min="3076" max="3076" width="28.77734375" style="64" customWidth="1"/>
    <col min="3077" max="3077" width="24.109375" style="64" bestFit="1" customWidth="1"/>
    <col min="3078" max="3078" width="25.44140625" style="64" bestFit="1" customWidth="1"/>
    <col min="3079" max="3079" width="21.77734375" style="64" bestFit="1" customWidth="1"/>
    <col min="3080" max="3080" width="18.5546875" style="64" customWidth="1"/>
    <col min="3081" max="3081" width="16.33203125" style="64" customWidth="1"/>
    <col min="3082" max="3082" width="13" style="64" customWidth="1"/>
    <col min="3083" max="3083" width="12.6640625" style="64" customWidth="1"/>
    <col min="3084" max="3084" width="13.33203125" style="64" bestFit="1" customWidth="1"/>
    <col min="3085" max="3085" width="11.5546875" style="64" customWidth="1"/>
    <col min="3086" max="3086" width="11.88671875" style="64" bestFit="1" customWidth="1"/>
    <col min="3087" max="3087" width="17.77734375" style="64" customWidth="1"/>
    <col min="3088" max="3089" width="8.77734375" style="64"/>
    <col min="3090" max="3090" width="29.109375" style="64" customWidth="1"/>
    <col min="3091" max="3091" width="8.77734375" style="64"/>
    <col min="3092" max="3092" width="30.21875" style="64" customWidth="1"/>
    <col min="3093" max="3329" width="8.77734375" style="64"/>
    <col min="3330" max="3330" width="8.88671875" style="64" bestFit="1" customWidth="1"/>
    <col min="3331" max="3331" width="51.33203125" style="64" bestFit="1" customWidth="1"/>
    <col min="3332" max="3332" width="28.77734375" style="64" customWidth="1"/>
    <col min="3333" max="3333" width="24.109375" style="64" bestFit="1" customWidth="1"/>
    <col min="3334" max="3334" width="25.44140625" style="64" bestFit="1" customWidth="1"/>
    <col min="3335" max="3335" width="21.77734375" style="64" bestFit="1" customWidth="1"/>
    <col min="3336" max="3336" width="18.5546875" style="64" customWidth="1"/>
    <col min="3337" max="3337" width="16.33203125" style="64" customWidth="1"/>
    <col min="3338" max="3338" width="13" style="64" customWidth="1"/>
    <col min="3339" max="3339" width="12.6640625" style="64" customWidth="1"/>
    <col min="3340" max="3340" width="13.33203125" style="64" bestFit="1" customWidth="1"/>
    <col min="3341" max="3341" width="11.5546875" style="64" customWidth="1"/>
    <col min="3342" max="3342" width="11.88671875" style="64" bestFit="1" customWidth="1"/>
    <col min="3343" max="3343" width="17.77734375" style="64" customWidth="1"/>
    <col min="3344" max="3345" width="8.77734375" style="64"/>
    <col min="3346" max="3346" width="29.109375" style="64" customWidth="1"/>
    <col min="3347" max="3347" width="8.77734375" style="64"/>
    <col min="3348" max="3348" width="30.21875" style="64" customWidth="1"/>
    <col min="3349" max="3585" width="8.77734375" style="64"/>
    <col min="3586" max="3586" width="8.88671875" style="64" bestFit="1" customWidth="1"/>
    <col min="3587" max="3587" width="51.33203125" style="64" bestFit="1" customWidth="1"/>
    <col min="3588" max="3588" width="28.77734375" style="64" customWidth="1"/>
    <col min="3589" max="3589" width="24.109375" style="64" bestFit="1" customWidth="1"/>
    <col min="3590" max="3590" width="25.44140625" style="64" bestFit="1" customWidth="1"/>
    <col min="3591" max="3591" width="21.77734375" style="64" bestFit="1" customWidth="1"/>
    <col min="3592" max="3592" width="18.5546875" style="64" customWidth="1"/>
    <col min="3593" max="3593" width="16.33203125" style="64" customWidth="1"/>
    <col min="3594" max="3594" width="13" style="64" customWidth="1"/>
    <col min="3595" max="3595" width="12.6640625" style="64" customWidth="1"/>
    <col min="3596" max="3596" width="13.33203125" style="64" bestFit="1" customWidth="1"/>
    <col min="3597" max="3597" width="11.5546875" style="64" customWidth="1"/>
    <col min="3598" max="3598" width="11.88671875" style="64" bestFit="1" customWidth="1"/>
    <col min="3599" max="3599" width="17.77734375" style="64" customWidth="1"/>
    <col min="3600" max="3601" width="8.77734375" style="64"/>
    <col min="3602" max="3602" width="29.109375" style="64" customWidth="1"/>
    <col min="3603" max="3603" width="8.77734375" style="64"/>
    <col min="3604" max="3604" width="30.21875" style="64" customWidth="1"/>
    <col min="3605" max="3841" width="8.77734375" style="64"/>
    <col min="3842" max="3842" width="8.88671875" style="64" bestFit="1" customWidth="1"/>
    <col min="3843" max="3843" width="51.33203125" style="64" bestFit="1" customWidth="1"/>
    <col min="3844" max="3844" width="28.77734375" style="64" customWidth="1"/>
    <col min="3845" max="3845" width="24.109375" style="64" bestFit="1" customWidth="1"/>
    <col min="3846" max="3846" width="25.44140625" style="64" bestFit="1" customWidth="1"/>
    <col min="3847" max="3847" width="21.77734375" style="64" bestFit="1" customWidth="1"/>
    <col min="3848" max="3848" width="18.5546875" style="64" customWidth="1"/>
    <col min="3849" max="3849" width="16.33203125" style="64" customWidth="1"/>
    <col min="3850" max="3850" width="13" style="64" customWidth="1"/>
    <col min="3851" max="3851" width="12.6640625" style="64" customWidth="1"/>
    <col min="3852" max="3852" width="13.33203125" style="64" bestFit="1" customWidth="1"/>
    <col min="3853" max="3853" width="11.5546875" style="64" customWidth="1"/>
    <col min="3854" max="3854" width="11.88671875" style="64" bestFit="1" customWidth="1"/>
    <col min="3855" max="3855" width="17.77734375" style="64" customWidth="1"/>
    <col min="3856" max="3857" width="8.77734375" style="64"/>
    <col min="3858" max="3858" width="29.109375" style="64" customWidth="1"/>
    <col min="3859" max="3859" width="8.77734375" style="64"/>
    <col min="3860" max="3860" width="30.21875" style="64" customWidth="1"/>
    <col min="3861" max="4097" width="8.77734375" style="64"/>
    <col min="4098" max="4098" width="8.88671875" style="64" bestFit="1" customWidth="1"/>
    <col min="4099" max="4099" width="51.33203125" style="64" bestFit="1" customWidth="1"/>
    <col min="4100" max="4100" width="28.77734375" style="64" customWidth="1"/>
    <col min="4101" max="4101" width="24.109375" style="64" bestFit="1" customWidth="1"/>
    <col min="4102" max="4102" width="25.44140625" style="64" bestFit="1" customWidth="1"/>
    <col min="4103" max="4103" width="21.77734375" style="64" bestFit="1" customWidth="1"/>
    <col min="4104" max="4104" width="18.5546875" style="64" customWidth="1"/>
    <col min="4105" max="4105" width="16.33203125" style="64" customWidth="1"/>
    <col min="4106" max="4106" width="13" style="64" customWidth="1"/>
    <col min="4107" max="4107" width="12.6640625" style="64" customWidth="1"/>
    <col min="4108" max="4108" width="13.33203125" style="64" bestFit="1" customWidth="1"/>
    <col min="4109" max="4109" width="11.5546875" style="64" customWidth="1"/>
    <col min="4110" max="4110" width="11.88671875" style="64" bestFit="1" customWidth="1"/>
    <col min="4111" max="4111" width="17.77734375" style="64" customWidth="1"/>
    <col min="4112" max="4113" width="8.77734375" style="64"/>
    <col min="4114" max="4114" width="29.109375" style="64" customWidth="1"/>
    <col min="4115" max="4115" width="8.77734375" style="64"/>
    <col min="4116" max="4116" width="30.21875" style="64" customWidth="1"/>
    <col min="4117" max="4353" width="8.77734375" style="64"/>
    <col min="4354" max="4354" width="8.88671875" style="64" bestFit="1" customWidth="1"/>
    <col min="4355" max="4355" width="51.33203125" style="64" bestFit="1" customWidth="1"/>
    <col min="4356" max="4356" width="28.77734375" style="64" customWidth="1"/>
    <col min="4357" max="4357" width="24.109375" style="64" bestFit="1" customWidth="1"/>
    <col min="4358" max="4358" width="25.44140625" style="64" bestFit="1" customWidth="1"/>
    <col min="4359" max="4359" width="21.77734375" style="64" bestFit="1" customWidth="1"/>
    <col min="4360" max="4360" width="18.5546875" style="64" customWidth="1"/>
    <col min="4361" max="4361" width="16.33203125" style="64" customWidth="1"/>
    <col min="4362" max="4362" width="13" style="64" customWidth="1"/>
    <col min="4363" max="4363" width="12.6640625" style="64" customWidth="1"/>
    <col min="4364" max="4364" width="13.33203125" style="64" bestFit="1" customWidth="1"/>
    <col min="4365" max="4365" width="11.5546875" style="64" customWidth="1"/>
    <col min="4366" max="4366" width="11.88671875" style="64" bestFit="1" customWidth="1"/>
    <col min="4367" max="4367" width="17.77734375" style="64" customWidth="1"/>
    <col min="4368" max="4369" width="8.77734375" style="64"/>
    <col min="4370" max="4370" width="29.109375" style="64" customWidth="1"/>
    <col min="4371" max="4371" width="8.77734375" style="64"/>
    <col min="4372" max="4372" width="30.21875" style="64" customWidth="1"/>
    <col min="4373" max="4609" width="8.77734375" style="64"/>
    <col min="4610" max="4610" width="8.88671875" style="64" bestFit="1" customWidth="1"/>
    <col min="4611" max="4611" width="51.33203125" style="64" bestFit="1" customWidth="1"/>
    <col min="4612" max="4612" width="28.77734375" style="64" customWidth="1"/>
    <col min="4613" max="4613" width="24.109375" style="64" bestFit="1" customWidth="1"/>
    <col min="4614" max="4614" width="25.44140625" style="64" bestFit="1" customWidth="1"/>
    <col min="4615" max="4615" width="21.77734375" style="64" bestFit="1" customWidth="1"/>
    <col min="4616" max="4616" width="18.5546875" style="64" customWidth="1"/>
    <col min="4617" max="4617" width="16.33203125" style="64" customWidth="1"/>
    <col min="4618" max="4618" width="13" style="64" customWidth="1"/>
    <col min="4619" max="4619" width="12.6640625" style="64" customWidth="1"/>
    <col min="4620" max="4620" width="13.33203125" style="64" bestFit="1" customWidth="1"/>
    <col min="4621" max="4621" width="11.5546875" style="64" customWidth="1"/>
    <col min="4622" max="4622" width="11.88671875" style="64" bestFit="1" customWidth="1"/>
    <col min="4623" max="4623" width="17.77734375" style="64" customWidth="1"/>
    <col min="4624" max="4625" width="8.77734375" style="64"/>
    <col min="4626" max="4626" width="29.109375" style="64" customWidth="1"/>
    <col min="4627" max="4627" width="8.77734375" style="64"/>
    <col min="4628" max="4628" width="30.21875" style="64" customWidth="1"/>
    <col min="4629" max="4865" width="8.77734375" style="64"/>
    <col min="4866" max="4866" width="8.88671875" style="64" bestFit="1" customWidth="1"/>
    <col min="4867" max="4867" width="51.33203125" style="64" bestFit="1" customWidth="1"/>
    <col min="4868" max="4868" width="28.77734375" style="64" customWidth="1"/>
    <col min="4869" max="4869" width="24.109375" style="64" bestFit="1" customWidth="1"/>
    <col min="4870" max="4870" width="25.44140625" style="64" bestFit="1" customWidth="1"/>
    <col min="4871" max="4871" width="21.77734375" style="64" bestFit="1" customWidth="1"/>
    <col min="4872" max="4872" width="18.5546875" style="64" customWidth="1"/>
    <col min="4873" max="4873" width="16.33203125" style="64" customWidth="1"/>
    <col min="4874" max="4874" width="13" style="64" customWidth="1"/>
    <col min="4875" max="4875" width="12.6640625" style="64" customWidth="1"/>
    <col min="4876" max="4876" width="13.33203125" style="64" bestFit="1" customWidth="1"/>
    <col min="4877" max="4877" width="11.5546875" style="64" customWidth="1"/>
    <col min="4878" max="4878" width="11.88671875" style="64" bestFit="1" customWidth="1"/>
    <col min="4879" max="4879" width="17.77734375" style="64" customWidth="1"/>
    <col min="4880" max="4881" width="8.77734375" style="64"/>
    <col min="4882" max="4882" width="29.109375" style="64" customWidth="1"/>
    <col min="4883" max="4883" width="8.77734375" style="64"/>
    <col min="4884" max="4884" width="30.21875" style="64" customWidth="1"/>
    <col min="4885" max="5121" width="8.77734375" style="64"/>
    <col min="5122" max="5122" width="8.88671875" style="64" bestFit="1" customWidth="1"/>
    <col min="5123" max="5123" width="51.33203125" style="64" bestFit="1" customWidth="1"/>
    <col min="5124" max="5124" width="28.77734375" style="64" customWidth="1"/>
    <col min="5125" max="5125" width="24.109375" style="64" bestFit="1" customWidth="1"/>
    <col min="5126" max="5126" width="25.44140625" style="64" bestFit="1" customWidth="1"/>
    <col min="5127" max="5127" width="21.77734375" style="64" bestFit="1" customWidth="1"/>
    <col min="5128" max="5128" width="18.5546875" style="64" customWidth="1"/>
    <col min="5129" max="5129" width="16.33203125" style="64" customWidth="1"/>
    <col min="5130" max="5130" width="13" style="64" customWidth="1"/>
    <col min="5131" max="5131" width="12.6640625" style="64" customWidth="1"/>
    <col min="5132" max="5132" width="13.33203125" style="64" bestFit="1" customWidth="1"/>
    <col min="5133" max="5133" width="11.5546875" style="64" customWidth="1"/>
    <col min="5134" max="5134" width="11.88671875" style="64" bestFit="1" customWidth="1"/>
    <col min="5135" max="5135" width="17.77734375" style="64" customWidth="1"/>
    <col min="5136" max="5137" width="8.77734375" style="64"/>
    <col min="5138" max="5138" width="29.109375" style="64" customWidth="1"/>
    <col min="5139" max="5139" width="8.77734375" style="64"/>
    <col min="5140" max="5140" width="30.21875" style="64" customWidth="1"/>
    <col min="5141" max="5377" width="8.77734375" style="64"/>
    <col min="5378" max="5378" width="8.88671875" style="64" bestFit="1" customWidth="1"/>
    <col min="5379" max="5379" width="51.33203125" style="64" bestFit="1" customWidth="1"/>
    <col min="5380" max="5380" width="28.77734375" style="64" customWidth="1"/>
    <col min="5381" max="5381" width="24.109375" style="64" bestFit="1" customWidth="1"/>
    <col min="5382" max="5382" width="25.44140625" style="64" bestFit="1" customWidth="1"/>
    <col min="5383" max="5383" width="21.77734375" style="64" bestFit="1" customWidth="1"/>
    <col min="5384" max="5384" width="18.5546875" style="64" customWidth="1"/>
    <col min="5385" max="5385" width="16.33203125" style="64" customWidth="1"/>
    <col min="5386" max="5386" width="13" style="64" customWidth="1"/>
    <col min="5387" max="5387" width="12.6640625" style="64" customWidth="1"/>
    <col min="5388" max="5388" width="13.33203125" style="64" bestFit="1" customWidth="1"/>
    <col min="5389" max="5389" width="11.5546875" style="64" customWidth="1"/>
    <col min="5390" max="5390" width="11.88671875" style="64" bestFit="1" customWidth="1"/>
    <col min="5391" max="5391" width="17.77734375" style="64" customWidth="1"/>
    <col min="5392" max="5393" width="8.77734375" style="64"/>
    <col min="5394" max="5394" width="29.109375" style="64" customWidth="1"/>
    <col min="5395" max="5395" width="8.77734375" style="64"/>
    <col min="5396" max="5396" width="30.21875" style="64" customWidth="1"/>
    <col min="5397" max="5633" width="8.77734375" style="64"/>
    <col min="5634" max="5634" width="8.88671875" style="64" bestFit="1" customWidth="1"/>
    <col min="5635" max="5635" width="51.33203125" style="64" bestFit="1" customWidth="1"/>
    <col min="5636" max="5636" width="28.77734375" style="64" customWidth="1"/>
    <col min="5637" max="5637" width="24.109375" style="64" bestFit="1" customWidth="1"/>
    <col min="5638" max="5638" width="25.44140625" style="64" bestFit="1" customWidth="1"/>
    <col min="5639" max="5639" width="21.77734375" style="64" bestFit="1" customWidth="1"/>
    <col min="5640" max="5640" width="18.5546875" style="64" customWidth="1"/>
    <col min="5641" max="5641" width="16.33203125" style="64" customWidth="1"/>
    <col min="5642" max="5642" width="13" style="64" customWidth="1"/>
    <col min="5643" max="5643" width="12.6640625" style="64" customWidth="1"/>
    <col min="5644" max="5644" width="13.33203125" style="64" bestFit="1" customWidth="1"/>
    <col min="5645" max="5645" width="11.5546875" style="64" customWidth="1"/>
    <col min="5646" max="5646" width="11.88671875" style="64" bestFit="1" customWidth="1"/>
    <col min="5647" max="5647" width="17.77734375" style="64" customWidth="1"/>
    <col min="5648" max="5649" width="8.77734375" style="64"/>
    <col min="5650" max="5650" width="29.109375" style="64" customWidth="1"/>
    <col min="5651" max="5651" width="8.77734375" style="64"/>
    <col min="5652" max="5652" width="30.21875" style="64" customWidth="1"/>
    <col min="5653" max="5889" width="8.77734375" style="64"/>
    <col min="5890" max="5890" width="8.88671875" style="64" bestFit="1" customWidth="1"/>
    <col min="5891" max="5891" width="51.33203125" style="64" bestFit="1" customWidth="1"/>
    <col min="5892" max="5892" width="28.77734375" style="64" customWidth="1"/>
    <col min="5893" max="5893" width="24.109375" style="64" bestFit="1" customWidth="1"/>
    <col min="5894" max="5894" width="25.44140625" style="64" bestFit="1" customWidth="1"/>
    <col min="5895" max="5895" width="21.77734375" style="64" bestFit="1" customWidth="1"/>
    <col min="5896" max="5896" width="18.5546875" style="64" customWidth="1"/>
    <col min="5897" max="5897" width="16.33203125" style="64" customWidth="1"/>
    <col min="5898" max="5898" width="13" style="64" customWidth="1"/>
    <col min="5899" max="5899" width="12.6640625" style="64" customWidth="1"/>
    <col min="5900" max="5900" width="13.33203125" style="64" bestFit="1" customWidth="1"/>
    <col min="5901" max="5901" width="11.5546875" style="64" customWidth="1"/>
    <col min="5902" max="5902" width="11.88671875" style="64" bestFit="1" customWidth="1"/>
    <col min="5903" max="5903" width="17.77734375" style="64" customWidth="1"/>
    <col min="5904" max="5905" width="8.77734375" style="64"/>
    <col min="5906" max="5906" width="29.109375" style="64" customWidth="1"/>
    <col min="5907" max="5907" width="8.77734375" style="64"/>
    <col min="5908" max="5908" width="30.21875" style="64" customWidth="1"/>
    <col min="5909" max="6145" width="8.77734375" style="64"/>
    <col min="6146" max="6146" width="8.88671875" style="64" bestFit="1" customWidth="1"/>
    <col min="6147" max="6147" width="51.33203125" style="64" bestFit="1" customWidth="1"/>
    <col min="6148" max="6148" width="28.77734375" style="64" customWidth="1"/>
    <col min="6149" max="6149" width="24.109375" style="64" bestFit="1" customWidth="1"/>
    <col min="6150" max="6150" width="25.44140625" style="64" bestFit="1" customWidth="1"/>
    <col min="6151" max="6151" width="21.77734375" style="64" bestFit="1" customWidth="1"/>
    <col min="6152" max="6152" width="18.5546875" style="64" customWidth="1"/>
    <col min="6153" max="6153" width="16.33203125" style="64" customWidth="1"/>
    <col min="6154" max="6154" width="13" style="64" customWidth="1"/>
    <col min="6155" max="6155" width="12.6640625" style="64" customWidth="1"/>
    <col min="6156" max="6156" width="13.33203125" style="64" bestFit="1" customWidth="1"/>
    <col min="6157" max="6157" width="11.5546875" style="64" customWidth="1"/>
    <col min="6158" max="6158" width="11.88671875" style="64" bestFit="1" customWidth="1"/>
    <col min="6159" max="6159" width="17.77734375" style="64" customWidth="1"/>
    <col min="6160" max="6161" width="8.77734375" style="64"/>
    <col min="6162" max="6162" width="29.109375" style="64" customWidth="1"/>
    <col min="6163" max="6163" width="8.77734375" style="64"/>
    <col min="6164" max="6164" width="30.21875" style="64" customWidth="1"/>
    <col min="6165" max="6401" width="8.77734375" style="64"/>
    <col min="6402" max="6402" width="8.88671875" style="64" bestFit="1" customWidth="1"/>
    <col min="6403" max="6403" width="51.33203125" style="64" bestFit="1" customWidth="1"/>
    <col min="6404" max="6404" width="28.77734375" style="64" customWidth="1"/>
    <col min="6405" max="6405" width="24.109375" style="64" bestFit="1" customWidth="1"/>
    <col min="6406" max="6406" width="25.44140625" style="64" bestFit="1" customWidth="1"/>
    <col min="6407" max="6407" width="21.77734375" style="64" bestFit="1" customWidth="1"/>
    <col min="6408" max="6408" width="18.5546875" style="64" customWidth="1"/>
    <col min="6409" max="6409" width="16.33203125" style="64" customWidth="1"/>
    <col min="6410" max="6410" width="13" style="64" customWidth="1"/>
    <col min="6411" max="6411" width="12.6640625" style="64" customWidth="1"/>
    <col min="6412" max="6412" width="13.33203125" style="64" bestFit="1" customWidth="1"/>
    <col min="6413" max="6413" width="11.5546875" style="64" customWidth="1"/>
    <col min="6414" max="6414" width="11.88671875" style="64" bestFit="1" customWidth="1"/>
    <col min="6415" max="6415" width="17.77734375" style="64" customWidth="1"/>
    <col min="6416" max="6417" width="8.77734375" style="64"/>
    <col min="6418" max="6418" width="29.109375" style="64" customWidth="1"/>
    <col min="6419" max="6419" width="8.77734375" style="64"/>
    <col min="6420" max="6420" width="30.21875" style="64" customWidth="1"/>
    <col min="6421" max="6657" width="8.77734375" style="64"/>
    <col min="6658" max="6658" width="8.88671875" style="64" bestFit="1" customWidth="1"/>
    <col min="6659" max="6659" width="51.33203125" style="64" bestFit="1" customWidth="1"/>
    <col min="6660" max="6660" width="28.77734375" style="64" customWidth="1"/>
    <col min="6661" max="6661" width="24.109375" style="64" bestFit="1" customWidth="1"/>
    <col min="6662" max="6662" width="25.44140625" style="64" bestFit="1" customWidth="1"/>
    <col min="6663" max="6663" width="21.77734375" style="64" bestFit="1" customWidth="1"/>
    <col min="6664" max="6664" width="18.5546875" style="64" customWidth="1"/>
    <col min="6665" max="6665" width="16.33203125" style="64" customWidth="1"/>
    <col min="6666" max="6666" width="13" style="64" customWidth="1"/>
    <col min="6667" max="6667" width="12.6640625" style="64" customWidth="1"/>
    <col min="6668" max="6668" width="13.33203125" style="64" bestFit="1" customWidth="1"/>
    <col min="6669" max="6669" width="11.5546875" style="64" customWidth="1"/>
    <col min="6670" max="6670" width="11.88671875" style="64" bestFit="1" customWidth="1"/>
    <col min="6671" max="6671" width="17.77734375" style="64" customWidth="1"/>
    <col min="6672" max="6673" width="8.77734375" style="64"/>
    <col min="6674" max="6674" width="29.109375" style="64" customWidth="1"/>
    <col min="6675" max="6675" width="8.77734375" style="64"/>
    <col min="6676" max="6676" width="30.21875" style="64" customWidth="1"/>
    <col min="6677" max="6913" width="8.77734375" style="64"/>
    <col min="6914" max="6914" width="8.88671875" style="64" bestFit="1" customWidth="1"/>
    <col min="6915" max="6915" width="51.33203125" style="64" bestFit="1" customWidth="1"/>
    <col min="6916" max="6916" width="28.77734375" style="64" customWidth="1"/>
    <col min="6917" max="6917" width="24.109375" style="64" bestFit="1" customWidth="1"/>
    <col min="6918" max="6918" width="25.44140625" style="64" bestFit="1" customWidth="1"/>
    <col min="6919" max="6919" width="21.77734375" style="64" bestFit="1" customWidth="1"/>
    <col min="6920" max="6920" width="18.5546875" style="64" customWidth="1"/>
    <col min="6921" max="6921" width="16.33203125" style="64" customWidth="1"/>
    <col min="6922" max="6922" width="13" style="64" customWidth="1"/>
    <col min="6923" max="6923" width="12.6640625" style="64" customWidth="1"/>
    <col min="6924" max="6924" width="13.33203125" style="64" bestFit="1" customWidth="1"/>
    <col min="6925" max="6925" width="11.5546875" style="64" customWidth="1"/>
    <col min="6926" max="6926" width="11.88671875" style="64" bestFit="1" customWidth="1"/>
    <col min="6927" max="6927" width="17.77734375" style="64" customWidth="1"/>
    <col min="6928" max="6929" width="8.77734375" style="64"/>
    <col min="6930" max="6930" width="29.109375" style="64" customWidth="1"/>
    <col min="6931" max="6931" width="8.77734375" style="64"/>
    <col min="6932" max="6932" width="30.21875" style="64" customWidth="1"/>
    <col min="6933" max="7169" width="8.77734375" style="64"/>
    <col min="7170" max="7170" width="8.88671875" style="64" bestFit="1" customWidth="1"/>
    <col min="7171" max="7171" width="51.33203125" style="64" bestFit="1" customWidth="1"/>
    <col min="7172" max="7172" width="28.77734375" style="64" customWidth="1"/>
    <col min="7173" max="7173" width="24.109375" style="64" bestFit="1" customWidth="1"/>
    <col min="7174" max="7174" width="25.44140625" style="64" bestFit="1" customWidth="1"/>
    <col min="7175" max="7175" width="21.77734375" style="64" bestFit="1" customWidth="1"/>
    <col min="7176" max="7176" width="18.5546875" style="64" customWidth="1"/>
    <col min="7177" max="7177" width="16.33203125" style="64" customWidth="1"/>
    <col min="7178" max="7178" width="13" style="64" customWidth="1"/>
    <col min="7179" max="7179" width="12.6640625" style="64" customWidth="1"/>
    <col min="7180" max="7180" width="13.33203125" style="64" bestFit="1" customWidth="1"/>
    <col min="7181" max="7181" width="11.5546875" style="64" customWidth="1"/>
    <col min="7182" max="7182" width="11.88671875" style="64" bestFit="1" customWidth="1"/>
    <col min="7183" max="7183" width="17.77734375" style="64" customWidth="1"/>
    <col min="7184" max="7185" width="8.77734375" style="64"/>
    <col min="7186" max="7186" width="29.109375" style="64" customWidth="1"/>
    <col min="7187" max="7187" width="8.77734375" style="64"/>
    <col min="7188" max="7188" width="30.21875" style="64" customWidth="1"/>
    <col min="7189" max="7425" width="8.77734375" style="64"/>
    <col min="7426" max="7426" width="8.88671875" style="64" bestFit="1" customWidth="1"/>
    <col min="7427" max="7427" width="51.33203125" style="64" bestFit="1" customWidth="1"/>
    <col min="7428" max="7428" width="28.77734375" style="64" customWidth="1"/>
    <col min="7429" max="7429" width="24.109375" style="64" bestFit="1" customWidth="1"/>
    <col min="7430" max="7430" width="25.44140625" style="64" bestFit="1" customWidth="1"/>
    <col min="7431" max="7431" width="21.77734375" style="64" bestFit="1" customWidth="1"/>
    <col min="7432" max="7432" width="18.5546875" style="64" customWidth="1"/>
    <col min="7433" max="7433" width="16.33203125" style="64" customWidth="1"/>
    <col min="7434" max="7434" width="13" style="64" customWidth="1"/>
    <col min="7435" max="7435" width="12.6640625" style="64" customWidth="1"/>
    <col min="7436" max="7436" width="13.33203125" style="64" bestFit="1" customWidth="1"/>
    <col min="7437" max="7437" width="11.5546875" style="64" customWidth="1"/>
    <col min="7438" max="7438" width="11.88671875" style="64" bestFit="1" customWidth="1"/>
    <col min="7439" max="7439" width="17.77734375" style="64" customWidth="1"/>
    <col min="7440" max="7441" width="8.77734375" style="64"/>
    <col min="7442" max="7442" width="29.109375" style="64" customWidth="1"/>
    <col min="7443" max="7443" width="8.77734375" style="64"/>
    <col min="7444" max="7444" width="30.21875" style="64" customWidth="1"/>
    <col min="7445" max="7681" width="8.77734375" style="64"/>
    <col min="7682" max="7682" width="8.88671875" style="64" bestFit="1" customWidth="1"/>
    <col min="7683" max="7683" width="51.33203125" style="64" bestFit="1" customWidth="1"/>
    <col min="7684" max="7684" width="28.77734375" style="64" customWidth="1"/>
    <col min="7685" max="7685" width="24.109375" style="64" bestFit="1" customWidth="1"/>
    <col min="7686" max="7686" width="25.44140625" style="64" bestFit="1" customWidth="1"/>
    <col min="7687" max="7687" width="21.77734375" style="64" bestFit="1" customWidth="1"/>
    <col min="7688" max="7688" width="18.5546875" style="64" customWidth="1"/>
    <col min="7689" max="7689" width="16.33203125" style="64" customWidth="1"/>
    <col min="7690" max="7690" width="13" style="64" customWidth="1"/>
    <col min="7691" max="7691" width="12.6640625" style="64" customWidth="1"/>
    <col min="7692" max="7692" width="13.33203125" style="64" bestFit="1" customWidth="1"/>
    <col min="7693" max="7693" width="11.5546875" style="64" customWidth="1"/>
    <col min="7694" max="7694" width="11.88671875" style="64" bestFit="1" customWidth="1"/>
    <col min="7695" max="7695" width="17.77734375" style="64" customWidth="1"/>
    <col min="7696" max="7697" width="8.77734375" style="64"/>
    <col min="7698" max="7698" width="29.109375" style="64" customWidth="1"/>
    <col min="7699" max="7699" width="8.77734375" style="64"/>
    <col min="7700" max="7700" width="30.21875" style="64" customWidth="1"/>
    <col min="7701" max="7937" width="8.77734375" style="64"/>
    <col min="7938" max="7938" width="8.88671875" style="64" bestFit="1" customWidth="1"/>
    <col min="7939" max="7939" width="51.33203125" style="64" bestFit="1" customWidth="1"/>
    <col min="7940" max="7940" width="28.77734375" style="64" customWidth="1"/>
    <col min="7941" max="7941" width="24.109375" style="64" bestFit="1" customWidth="1"/>
    <col min="7942" max="7942" width="25.44140625" style="64" bestFit="1" customWidth="1"/>
    <col min="7943" max="7943" width="21.77734375" style="64" bestFit="1" customWidth="1"/>
    <col min="7944" max="7944" width="18.5546875" style="64" customWidth="1"/>
    <col min="7945" max="7945" width="16.33203125" style="64" customWidth="1"/>
    <col min="7946" max="7946" width="13" style="64" customWidth="1"/>
    <col min="7947" max="7947" width="12.6640625" style="64" customWidth="1"/>
    <col min="7948" max="7948" width="13.33203125" style="64" bestFit="1" customWidth="1"/>
    <col min="7949" max="7949" width="11.5546875" style="64" customWidth="1"/>
    <col min="7950" max="7950" width="11.88671875" style="64" bestFit="1" customWidth="1"/>
    <col min="7951" max="7951" width="17.77734375" style="64" customWidth="1"/>
    <col min="7952" max="7953" width="8.77734375" style="64"/>
    <col min="7954" max="7954" width="29.109375" style="64" customWidth="1"/>
    <col min="7955" max="7955" width="8.77734375" style="64"/>
    <col min="7956" max="7956" width="30.21875" style="64" customWidth="1"/>
    <col min="7957" max="8193" width="8.77734375" style="64"/>
    <col min="8194" max="8194" width="8.88671875" style="64" bestFit="1" customWidth="1"/>
    <col min="8195" max="8195" width="51.33203125" style="64" bestFit="1" customWidth="1"/>
    <col min="8196" max="8196" width="28.77734375" style="64" customWidth="1"/>
    <col min="8197" max="8197" width="24.109375" style="64" bestFit="1" customWidth="1"/>
    <col min="8198" max="8198" width="25.44140625" style="64" bestFit="1" customWidth="1"/>
    <col min="8199" max="8199" width="21.77734375" style="64" bestFit="1" customWidth="1"/>
    <col min="8200" max="8200" width="18.5546875" style="64" customWidth="1"/>
    <col min="8201" max="8201" width="16.33203125" style="64" customWidth="1"/>
    <col min="8202" max="8202" width="13" style="64" customWidth="1"/>
    <col min="8203" max="8203" width="12.6640625" style="64" customWidth="1"/>
    <col min="8204" max="8204" width="13.33203125" style="64" bestFit="1" customWidth="1"/>
    <col min="8205" max="8205" width="11.5546875" style="64" customWidth="1"/>
    <col min="8206" max="8206" width="11.88671875" style="64" bestFit="1" customWidth="1"/>
    <col min="8207" max="8207" width="17.77734375" style="64" customWidth="1"/>
    <col min="8208" max="8209" width="8.77734375" style="64"/>
    <col min="8210" max="8210" width="29.109375" style="64" customWidth="1"/>
    <col min="8211" max="8211" width="8.77734375" style="64"/>
    <col min="8212" max="8212" width="30.21875" style="64" customWidth="1"/>
    <col min="8213" max="8449" width="8.77734375" style="64"/>
    <col min="8450" max="8450" width="8.88671875" style="64" bestFit="1" customWidth="1"/>
    <col min="8451" max="8451" width="51.33203125" style="64" bestFit="1" customWidth="1"/>
    <col min="8452" max="8452" width="28.77734375" style="64" customWidth="1"/>
    <col min="8453" max="8453" width="24.109375" style="64" bestFit="1" customWidth="1"/>
    <col min="8454" max="8454" width="25.44140625" style="64" bestFit="1" customWidth="1"/>
    <col min="8455" max="8455" width="21.77734375" style="64" bestFit="1" customWidth="1"/>
    <col min="8456" max="8456" width="18.5546875" style="64" customWidth="1"/>
    <col min="8457" max="8457" width="16.33203125" style="64" customWidth="1"/>
    <col min="8458" max="8458" width="13" style="64" customWidth="1"/>
    <col min="8459" max="8459" width="12.6640625" style="64" customWidth="1"/>
    <col min="8460" max="8460" width="13.33203125" style="64" bestFit="1" customWidth="1"/>
    <col min="8461" max="8461" width="11.5546875" style="64" customWidth="1"/>
    <col min="8462" max="8462" width="11.88671875" style="64" bestFit="1" customWidth="1"/>
    <col min="8463" max="8463" width="17.77734375" style="64" customWidth="1"/>
    <col min="8464" max="8465" width="8.77734375" style="64"/>
    <col min="8466" max="8466" width="29.109375" style="64" customWidth="1"/>
    <col min="8467" max="8467" width="8.77734375" style="64"/>
    <col min="8468" max="8468" width="30.21875" style="64" customWidth="1"/>
    <col min="8469" max="8705" width="8.77734375" style="64"/>
    <col min="8706" max="8706" width="8.88671875" style="64" bestFit="1" customWidth="1"/>
    <col min="8707" max="8707" width="51.33203125" style="64" bestFit="1" customWidth="1"/>
    <col min="8708" max="8708" width="28.77734375" style="64" customWidth="1"/>
    <col min="8709" max="8709" width="24.109375" style="64" bestFit="1" customWidth="1"/>
    <col min="8710" max="8710" width="25.44140625" style="64" bestFit="1" customWidth="1"/>
    <col min="8711" max="8711" width="21.77734375" style="64" bestFit="1" customWidth="1"/>
    <col min="8712" max="8712" width="18.5546875" style="64" customWidth="1"/>
    <col min="8713" max="8713" width="16.33203125" style="64" customWidth="1"/>
    <col min="8714" max="8714" width="13" style="64" customWidth="1"/>
    <col min="8715" max="8715" width="12.6640625" style="64" customWidth="1"/>
    <col min="8716" max="8716" width="13.33203125" style="64" bestFit="1" customWidth="1"/>
    <col min="8717" max="8717" width="11.5546875" style="64" customWidth="1"/>
    <col min="8718" max="8718" width="11.88671875" style="64" bestFit="1" customWidth="1"/>
    <col min="8719" max="8719" width="17.77734375" style="64" customWidth="1"/>
    <col min="8720" max="8721" width="8.77734375" style="64"/>
    <col min="8722" max="8722" width="29.109375" style="64" customWidth="1"/>
    <col min="8723" max="8723" width="8.77734375" style="64"/>
    <col min="8724" max="8724" width="30.21875" style="64" customWidth="1"/>
    <col min="8725" max="8961" width="8.77734375" style="64"/>
    <col min="8962" max="8962" width="8.88671875" style="64" bestFit="1" customWidth="1"/>
    <col min="8963" max="8963" width="51.33203125" style="64" bestFit="1" customWidth="1"/>
    <col min="8964" max="8964" width="28.77734375" style="64" customWidth="1"/>
    <col min="8965" max="8965" width="24.109375" style="64" bestFit="1" customWidth="1"/>
    <col min="8966" max="8966" width="25.44140625" style="64" bestFit="1" customWidth="1"/>
    <col min="8967" max="8967" width="21.77734375" style="64" bestFit="1" customWidth="1"/>
    <col min="8968" max="8968" width="18.5546875" style="64" customWidth="1"/>
    <col min="8969" max="8969" width="16.33203125" style="64" customWidth="1"/>
    <col min="8970" max="8970" width="13" style="64" customWidth="1"/>
    <col min="8971" max="8971" width="12.6640625" style="64" customWidth="1"/>
    <col min="8972" max="8972" width="13.33203125" style="64" bestFit="1" customWidth="1"/>
    <col min="8973" max="8973" width="11.5546875" style="64" customWidth="1"/>
    <col min="8974" max="8974" width="11.88671875" style="64" bestFit="1" customWidth="1"/>
    <col min="8975" max="8975" width="17.77734375" style="64" customWidth="1"/>
    <col min="8976" max="8977" width="8.77734375" style="64"/>
    <col min="8978" max="8978" width="29.109375" style="64" customWidth="1"/>
    <col min="8979" max="8979" width="8.77734375" style="64"/>
    <col min="8980" max="8980" width="30.21875" style="64" customWidth="1"/>
    <col min="8981" max="9217" width="8.77734375" style="64"/>
    <col min="9218" max="9218" width="8.88671875" style="64" bestFit="1" customWidth="1"/>
    <col min="9219" max="9219" width="51.33203125" style="64" bestFit="1" customWidth="1"/>
    <col min="9220" max="9220" width="28.77734375" style="64" customWidth="1"/>
    <col min="9221" max="9221" width="24.109375" style="64" bestFit="1" customWidth="1"/>
    <col min="9222" max="9222" width="25.44140625" style="64" bestFit="1" customWidth="1"/>
    <col min="9223" max="9223" width="21.77734375" style="64" bestFit="1" customWidth="1"/>
    <col min="9224" max="9224" width="18.5546875" style="64" customWidth="1"/>
    <col min="9225" max="9225" width="16.33203125" style="64" customWidth="1"/>
    <col min="9226" max="9226" width="13" style="64" customWidth="1"/>
    <col min="9227" max="9227" width="12.6640625" style="64" customWidth="1"/>
    <col min="9228" max="9228" width="13.33203125" style="64" bestFit="1" customWidth="1"/>
    <col min="9229" max="9229" width="11.5546875" style="64" customWidth="1"/>
    <col min="9230" max="9230" width="11.88671875" style="64" bestFit="1" customWidth="1"/>
    <col min="9231" max="9231" width="17.77734375" style="64" customWidth="1"/>
    <col min="9232" max="9233" width="8.77734375" style="64"/>
    <col min="9234" max="9234" width="29.109375" style="64" customWidth="1"/>
    <col min="9235" max="9235" width="8.77734375" style="64"/>
    <col min="9236" max="9236" width="30.21875" style="64" customWidth="1"/>
    <col min="9237" max="9473" width="8.77734375" style="64"/>
    <col min="9474" max="9474" width="8.88671875" style="64" bestFit="1" customWidth="1"/>
    <col min="9475" max="9475" width="51.33203125" style="64" bestFit="1" customWidth="1"/>
    <col min="9476" max="9476" width="28.77734375" style="64" customWidth="1"/>
    <col min="9477" max="9477" width="24.109375" style="64" bestFit="1" customWidth="1"/>
    <col min="9478" max="9478" width="25.44140625" style="64" bestFit="1" customWidth="1"/>
    <col min="9479" max="9479" width="21.77734375" style="64" bestFit="1" customWidth="1"/>
    <col min="9480" max="9480" width="18.5546875" style="64" customWidth="1"/>
    <col min="9481" max="9481" width="16.33203125" style="64" customWidth="1"/>
    <col min="9482" max="9482" width="13" style="64" customWidth="1"/>
    <col min="9483" max="9483" width="12.6640625" style="64" customWidth="1"/>
    <col min="9484" max="9484" width="13.33203125" style="64" bestFit="1" customWidth="1"/>
    <col min="9485" max="9485" width="11.5546875" style="64" customWidth="1"/>
    <col min="9486" max="9486" width="11.88671875" style="64" bestFit="1" customWidth="1"/>
    <col min="9487" max="9487" width="17.77734375" style="64" customWidth="1"/>
    <col min="9488" max="9489" width="8.77734375" style="64"/>
    <col min="9490" max="9490" width="29.109375" style="64" customWidth="1"/>
    <col min="9491" max="9491" width="8.77734375" style="64"/>
    <col min="9492" max="9492" width="30.21875" style="64" customWidth="1"/>
    <col min="9493" max="9729" width="8.77734375" style="64"/>
    <col min="9730" max="9730" width="8.88671875" style="64" bestFit="1" customWidth="1"/>
    <col min="9731" max="9731" width="51.33203125" style="64" bestFit="1" customWidth="1"/>
    <col min="9732" max="9732" width="28.77734375" style="64" customWidth="1"/>
    <col min="9733" max="9733" width="24.109375" style="64" bestFit="1" customWidth="1"/>
    <col min="9734" max="9734" width="25.44140625" style="64" bestFit="1" customWidth="1"/>
    <col min="9735" max="9735" width="21.77734375" style="64" bestFit="1" customWidth="1"/>
    <col min="9736" max="9736" width="18.5546875" style="64" customWidth="1"/>
    <col min="9737" max="9737" width="16.33203125" style="64" customWidth="1"/>
    <col min="9738" max="9738" width="13" style="64" customWidth="1"/>
    <col min="9739" max="9739" width="12.6640625" style="64" customWidth="1"/>
    <col min="9740" max="9740" width="13.33203125" style="64" bestFit="1" customWidth="1"/>
    <col min="9741" max="9741" width="11.5546875" style="64" customWidth="1"/>
    <col min="9742" max="9742" width="11.88671875" style="64" bestFit="1" customWidth="1"/>
    <col min="9743" max="9743" width="17.77734375" style="64" customWidth="1"/>
    <col min="9744" max="9745" width="8.77734375" style="64"/>
    <col min="9746" max="9746" width="29.109375" style="64" customWidth="1"/>
    <col min="9747" max="9747" width="8.77734375" style="64"/>
    <col min="9748" max="9748" width="30.21875" style="64" customWidth="1"/>
    <col min="9749" max="9985" width="8.77734375" style="64"/>
    <col min="9986" max="9986" width="8.88671875" style="64" bestFit="1" customWidth="1"/>
    <col min="9987" max="9987" width="51.33203125" style="64" bestFit="1" customWidth="1"/>
    <col min="9988" max="9988" width="28.77734375" style="64" customWidth="1"/>
    <col min="9989" max="9989" width="24.109375" style="64" bestFit="1" customWidth="1"/>
    <col min="9990" max="9990" width="25.44140625" style="64" bestFit="1" customWidth="1"/>
    <col min="9991" max="9991" width="21.77734375" style="64" bestFit="1" customWidth="1"/>
    <col min="9992" max="9992" width="18.5546875" style="64" customWidth="1"/>
    <col min="9993" max="9993" width="16.33203125" style="64" customWidth="1"/>
    <col min="9994" max="9994" width="13" style="64" customWidth="1"/>
    <col min="9995" max="9995" width="12.6640625" style="64" customWidth="1"/>
    <col min="9996" max="9996" width="13.33203125" style="64" bestFit="1" customWidth="1"/>
    <col min="9997" max="9997" width="11.5546875" style="64" customWidth="1"/>
    <col min="9998" max="9998" width="11.88671875" style="64" bestFit="1" customWidth="1"/>
    <col min="9999" max="9999" width="17.77734375" style="64" customWidth="1"/>
    <col min="10000" max="10001" width="8.77734375" style="64"/>
    <col min="10002" max="10002" width="29.109375" style="64" customWidth="1"/>
    <col min="10003" max="10003" width="8.77734375" style="64"/>
    <col min="10004" max="10004" width="30.21875" style="64" customWidth="1"/>
    <col min="10005" max="10241" width="8.77734375" style="64"/>
    <col min="10242" max="10242" width="8.88671875" style="64" bestFit="1" customWidth="1"/>
    <col min="10243" max="10243" width="51.33203125" style="64" bestFit="1" customWidth="1"/>
    <col min="10244" max="10244" width="28.77734375" style="64" customWidth="1"/>
    <col min="10245" max="10245" width="24.109375" style="64" bestFit="1" customWidth="1"/>
    <col min="10246" max="10246" width="25.44140625" style="64" bestFit="1" customWidth="1"/>
    <col min="10247" max="10247" width="21.77734375" style="64" bestFit="1" customWidth="1"/>
    <col min="10248" max="10248" width="18.5546875" style="64" customWidth="1"/>
    <col min="10249" max="10249" width="16.33203125" style="64" customWidth="1"/>
    <col min="10250" max="10250" width="13" style="64" customWidth="1"/>
    <col min="10251" max="10251" width="12.6640625" style="64" customWidth="1"/>
    <col min="10252" max="10252" width="13.33203125" style="64" bestFit="1" customWidth="1"/>
    <col min="10253" max="10253" width="11.5546875" style="64" customWidth="1"/>
    <col min="10254" max="10254" width="11.88671875" style="64" bestFit="1" customWidth="1"/>
    <col min="10255" max="10255" width="17.77734375" style="64" customWidth="1"/>
    <col min="10256" max="10257" width="8.77734375" style="64"/>
    <col min="10258" max="10258" width="29.109375" style="64" customWidth="1"/>
    <col min="10259" max="10259" width="8.77734375" style="64"/>
    <col min="10260" max="10260" width="30.21875" style="64" customWidth="1"/>
    <col min="10261" max="10497" width="8.77734375" style="64"/>
    <col min="10498" max="10498" width="8.88671875" style="64" bestFit="1" customWidth="1"/>
    <col min="10499" max="10499" width="51.33203125" style="64" bestFit="1" customWidth="1"/>
    <col min="10500" max="10500" width="28.77734375" style="64" customWidth="1"/>
    <col min="10501" max="10501" width="24.109375" style="64" bestFit="1" customWidth="1"/>
    <col min="10502" max="10502" width="25.44140625" style="64" bestFit="1" customWidth="1"/>
    <col min="10503" max="10503" width="21.77734375" style="64" bestFit="1" customWidth="1"/>
    <col min="10504" max="10504" width="18.5546875" style="64" customWidth="1"/>
    <col min="10505" max="10505" width="16.33203125" style="64" customWidth="1"/>
    <col min="10506" max="10506" width="13" style="64" customWidth="1"/>
    <col min="10507" max="10507" width="12.6640625" style="64" customWidth="1"/>
    <col min="10508" max="10508" width="13.33203125" style="64" bestFit="1" customWidth="1"/>
    <col min="10509" max="10509" width="11.5546875" style="64" customWidth="1"/>
    <col min="10510" max="10510" width="11.88671875" style="64" bestFit="1" customWidth="1"/>
    <col min="10511" max="10511" width="17.77734375" style="64" customWidth="1"/>
    <col min="10512" max="10513" width="8.77734375" style="64"/>
    <col min="10514" max="10514" width="29.109375" style="64" customWidth="1"/>
    <col min="10515" max="10515" width="8.77734375" style="64"/>
    <col min="10516" max="10516" width="30.21875" style="64" customWidth="1"/>
    <col min="10517" max="10753" width="8.77734375" style="64"/>
    <col min="10754" max="10754" width="8.88671875" style="64" bestFit="1" customWidth="1"/>
    <col min="10755" max="10755" width="51.33203125" style="64" bestFit="1" customWidth="1"/>
    <col min="10756" max="10756" width="28.77734375" style="64" customWidth="1"/>
    <col min="10757" max="10757" width="24.109375" style="64" bestFit="1" customWidth="1"/>
    <col min="10758" max="10758" width="25.44140625" style="64" bestFit="1" customWidth="1"/>
    <col min="10759" max="10759" width="21.77734375" style="64" bestFit="1" customWidth="1"/>
    <col min="10760" max="10760" width="18.5546875" style="64" customWidth="1"/>
    <col min="10761" max="10761" width="16.33203125" style="64" customWidth="1"/>
    <col min="10762" max="10762" width="13" style="64" customWidth="1"/>
    <col min="10763" max="10763" width="12.6640625" style="64" customWidth="1"/>
    <col min="10764" max="10764" width="13.33203125" style="64" bestFit="1" customWidth="1"/>
    <col min="10765" max="10765" width="11.5546875" style="64" customWidth="1"/>
    <col min="10766" max="10766" width="11.88671875" style="64" bestFit="1" customWidth="1"/>
    <col min="10767" max="10767" width="17.77734375" style="64" customWidth="1"/>
    <col min="10768" max="10769" width="8.77734375" style="64"/>
    <col min="10770" max="10770" width="29.109375" style="64" customWidth="1"/>
    <col min="10771" max="10771" width="8.77734375" style="64"/>
    <col min="10772" max="10772" width="30.21875" style="64" customWidth="1"/>
    <col min="10773" max="11009" width="8.77734375" style="64"/>
    <col min="11010" max="11010" width="8.88671875" style="64" bestFit="1" customWidth="1"/>
    <col min="11011" max="11011" width="51.33203125" style="64" bestFit="1" customWidth="1"/>
    <col min="11012" max="11012" width="28.77734375" style="64" customWidth="1"/>
    <col min="11013" max="11013" width="24.109375" style="64" bestFit="1" customWidth="1"/>
    <col min="11014" max="11014" width="25.44140625" style="64" bestFit="1" customWidth="1"/>
    <col min="11015" max="11015" width="21.77734375" style="64" bestFit="1" customWidth="1"/>
    <col min="11016" max="11016" width="18.5546875" style="64" customWidth="1"/>
    <col min="11017" max="11017" width="16.33203125" style="64" customWidth="1"/>
    <col min="11018" max="11018" width="13" style="64" customWidth="1"/>
    <col min="11019" max="11019" width="12.6640625" style="64" customWidth="1"/>
    <col min="11020" max="11020" width="13.33203125" style="64" bestFit="1" customWidth="1"/>
    <col min="11021" max="11021" width="11.5546875" style="64" customWidth="1"/>
    <col min="11022" max="11022" width="11.88671875" style="64" bestFit="1" customWidth="1"/>
    <col min="11023" max="11023" width="17.77734375" style="64" customWidth="1"/>
    <col min="11024" max="11025" width="8.77734375" style="64"/>
    <col min="11026" max="11026" width="29.109375" style="64" customWidth="1"/>
    <col min="11027" max="11027" width="8.77734375" style="64"/>
    <col min="11028" max="11028" width="30.21875" style="64" customWidth="1"/>
    <col min="11029" max="11265" width="8.77734375" style="64"/>
    <col min="11266" max="11266" width="8.88671875" style="64" bestFit="1" customWidth="1"/>
    <col min="11267" max="11267" width="51.33203125" style="64" bestFit="1" customWidth="1"/>
    <col min="11268" max="11268" width="28.77734375" style="64" customWidth="1"/>
    <col min="11269" max="11269" width="24.109375" style="64" bestFit="1" customWidth="1"/>
    <col min="11270" max="11270" width="25.44140625" style="64" bestFit="1" customWidth="1"/>
    <col min="11271" max="11271" width="21.77734375" style="64" bestFit="1" customWidth="1"/>
    <col min="11272" max="11272" width="18.5546875" style="64" customWidth="1"/>
    <col min="11273" max="11273" width="16.33203125" style="64" customWidth="1"/>
    <col min="11274" max="11274" width="13" style="64" customWidth="1"/>
    <col min="11275" max="11275" width="12.6640625" style="64" customWidth="1"/>
    <col min="11276" max="11276" width="13.33203125" style="64" bestFit="1" customWidth="1"/>
    <col min="11277" max="11277" width="11.5546875" style="64" customWidth="1"/>
    <col min="11278" max="11278" width="11.88671875" style="64" bestFit="1" customWidth="1"/>
    <col min="11279" max="11279" width="17.77734375" style="64" customWidth="1"/>
    <col min="11280" max="11281" width="8.77734375" style="64"/>
    <col min="11282" max="11282" width="29.109375" style="64" customWidth="1"/>
    <col min="11283" max="11283" width="8.77734375" style="64"/>
    <col min="11284" max="11284" width="30.21875" style="64" customWidth="1"/>
    <col min="11285" max="11521" width="8.77734375" style="64"/>
    <col min="11522" max="11522" width="8.88671875" style="64" bestFit="1" customWidth="1"/>
    <col min="11523" max="11523" width="51.33203125" style="64" bestFit="1" customWidth="1"/>
    <col min="11524" max="11524" width="28.77734375" style="64" customWidth="1"/>
    <col min="11525" max="11525" width="24.109375" style="64" bestFit="1" customWidth="1"/>
    <col min="11526" max="11526" width="25.44140625" style="64" bestFit="1" customWidth="1"/>
    <col min="11527" max="11527" width="21.77734375" style="64" bestFit="1" customWidth="1"/>
    <col min="11528" max="11528" width="18.5546875" style="64" customWidth="1"/>
    <col min="11529" max="11529" width="16.33203125" style="64" customWidth="1"/>
    <col min="11530" max="11530" width="13" style="64" customWidth="1"/>
    <col min="11531" max="11531" width="12.6640625" style="64" customWidth="1"/>
    <col min="11532" max="11532" width="13.33203125" style="64" bestFit="1" customWidth="1"/>
    <col min="11533" max="11533" width="11.5546875" style="64" customWidth="1"/>
    <col min="11534" max="11534" width="11.88671875" style="64" bestFit="1" customWidth="1"/>
    <col min="11535" max="11535" width="17.77734375" style="64" customWidth="1"/>
    <col min="11536" max="11537" width="8.77734375" style="64"/>
    <col min="11538" max="11538" width="29.109375" style="64" customWidth="1"/>
    <col min="11539" max="11539" width="8.77734375" style="64"/>
    <col min="11540" max="11540" width="30.21875" style="64" customWidth="1"/>
    <col min="11541" max="11777" width="8.77734375" style="64"/>
    <col min="11778" max="11778" width="8.88671875" style="64" bestFit="1" customWidth="1"/>
    <col min="11779" max="11779" width="51.33203125" style="64" bestFit="1" customWidth="1"/>
    <col min="11780" max="11780" width="28.77734375" style="64" customWidth="1"/>
    <col min="11781" max="11781" width="24.109375" style="64" bestFit="1" customWidth="1"/>
    <col min="11782" max="11782" width="25.44140625" style="64" bestFit="1" customWidth="1"/>
    <col min="11783" max="11783" width="21.77734375" style="64" bestFit="1" customWidth="1"/>
    <col min="11784" max="11784" width="18.5546875" style="64" customWidth="1"/>
    <col min="11785" max="11785" width="16.33203125" style="64" customWidth="1"/>
    <col min="11786" max="11786" width="13" style="64" customWidth="1"/>
    <col min="11787" max="11787" width="12.6640625" style="64" customWidth="1"/>
    <col min="11788" max="11788" width="13.33203125" style="64" bestFit="1" customWidth="1"/>
    <col min="11789" max="11789" width="11.5546875" style="64" customWidth="1"/>
    <col min="11790" max="11790" width="11.88671875" style="64" bestFit="1" customWidth="1"/>
    <col min="11791" max="11791" width="17.77734375" style="64" customWidth="1"/>
    <col min="11792" max="11793" width="8.77734375" style="64"/>
    <col min="11794" max="11794" width="29.109375" style="64" customWidth="1"/>
    <col min="11795" max="11795" width="8.77734375" style="64"/>
    <col min="11796" max="11796" width="30.21875" style="64" customWidth="1"/>
    <col min="11797" max="12033" width="8.77734375" style="64"/>
    <col min="12034" max="12034" width="8.88671875" style="64" bestFit="1" customWidth="1"/>
    <col min="12035" max="12035" width="51.33203125" style="64" bestFit="1" customWidth="1"/>
    <col min="12036" max="12036" width="28.77734375" style="64" customWidth="1"/>
    <col min="12037" max="12037" width="24.109375" style="64" bestFit="1" customWidth="1"/>
    <col min="12038" max="12038" width="25.44140625" style="64" bestFit="1" customWidth="1"/>
    <col min="12039" max="12039" width="21.77734375" style="64" bestFit="1" customWidth="1"/>
    <col min="12040" max="12040" width="18.5546875" style="64" customWidth="1"/>
    <col min="12041" max="12041" width="16.33203125" style="64" customWidth="1"/>
    <col min="12042" max="12042" width="13" style="64" customWidth="1"/>
    <col min="12043" max="12043" width="12.6640625" style="64" customWidth="1"/>
    <col min="12044" max="12044" width="13.33203125" style="64" bestFit="1" customWidth="1"/>
    <col min="12045" max="12045" width="11.5546875" style="64" customWidth="1"/>
    <col min="12046" max="12046" width="11.88671875" style="64" bestFit="1" customWidth="1"/>
    <col min="12047" max="12047" width="17.77734375" style="64" customWidth="1"/>
    <col min="12048" max="12049" width="8.77734375" style="64"/>
    <col min="12050" max="12050" width="29.109375" style="64" customWidth="1"/>
    <col min="12051" max="12051" width="8.77734375" style="64"/>
    <col min="12052" max="12052" width="30.21875" style="64" customWidth="1"/>
    <col min="12053" max="12289" width="8.77734375" style="64"/>
    <col min="12290" max="12290" width="8.88671875" style="64" bestFit="1" customWidth="1"/>
    <col min="12291" max="12291" width="51.33203125" style="64" bestFit="1" customWidth="1"/>
    <col min="12292" max="12292" width="28.77734375" style="64" customWidth="1"/>
    <col min="12293" max="12293" width="24.109375" style="64" bestFit="1" customWidth="1"/>
    <col min="12294" max="12294" width="25.44140625" style="64" bestFit="1" customWidth="1"/>
    <col min="12295" max="12295" width="21.77734375" style="64" bestFit="1" customWidth="1"/>
    <col min="12296" max="12296" width="18.5546875" style="64" customWidth="1"/>
    <col min="12297" max="12297" width="16.33203125" style="64" customWidth="1"/>
    <col min="12298" max="12298" width="13" style="64" customWidth="1"/>
    <col min="12299" max="12299" width="12.6640625" style="64" customWidth="1"/>
    <col min="12300" max="12300" width="13.33203125" style="64" bestFit="1" customWidth="1"/>
    <col min="12301" max="12301" width="11.5546875" style="64" customWidth="1"/>
    <col min="12302" max="12302" width="11.88671875" style="64" bestFit="1" customWidth="1"/>
    <col min="12303" max="12303" width="17.77734375" style="64" customWidth="1"/>
    <col min="12304" max="12305" width="8.77734375" style="64"/>
    <col min="12306" max="12306" width="29.109375" style="64" customWidth="1"/>
    <col min="12307" max="12307" width="8.77734375" style="64"/>
    <col min="12308" max="12308" width="30.21875" style="64" customWidth="1"/>
    <col min="12309" max="12545" width="8.77734375" style="64"/>
    <col min="12546" max="12546" width="8.88671875" style="64" bestFit="1" customWidth="1"/>
    <col min="12547" max="12547" width="51.33203125" style="64" bestFit="1" customWidth="1"/>
    <col min="12548" max="12548" width="28.77734375" style="64" customWidth="1"/>
    <col min="12549" max="12549" width="24.109375" style="64" bestFit="1" customWidth="1"/>
    <col min="12550" max="12550" width="25.44140625" style="64" bestFit="1" customWidth="1"/>
    <col min="12551" max="12551" width="21.77734375" style="64" bestFit="1" customWidth="1"/>
    <col min="12552" max="12552" width="18.5546875" style="64" customWidth="1"/>
    <col min="12553" max="12553" width="16.33203125" style="64" customWidth="1"/>
    <col min="12554" max="12554" width="13" style="64" customWidth="1"/>
    <col min="12555" max="12555" width="12.6640625" style="64" customWidth="1"/>
    <col min="12556" max="12556" width="13.33203125" style="64" bestFit="1" customWidth="1"/>
    <col min="12557" max="12557" width="11.5546875" style="64" customWidth="1"/>
    <col min="12558" max="12558" width="11.88671875" style="64" bestFit="1" customWidth="1"/>
    <col min="12559" max="12559" width="17.77734375" style="64" customWidth="1"/>
    <col min="12560" max="12561" width="8.77734375" style="64"/>
    <col min="12562" max="12562" width="29.109375" style="64" customWidth="1"/>
    <col min="12563" max="12563" width="8.77734375" style="64"/>
    <col min="12564" max="12564" width="30.21875" style="64" customWidth="1"/>
    <col min="12565" max="12801" width="8.77734375" style="64"/>
    <col min="12802" max="12802" width="8.88671875" style="64" bestFit="1" customWidth="1"/>
    <col min="12803" max="12803" width="51.33203125" style="64" bestFit="1" customWidth="1"/>
    <col min="12804" max="12804" width="28.77734375" style="64" customWidth="1"/>
    <col min="12805" max="12805" width="24.109375" style="64" bestFit="1" customWidth="1"/>
    <col min="12806" max="12806" width="25.44140625" style="64" bestFit="1" customWidth="1"/>
    <col min="12807" max="12807" width="21.77734375" style="64" bestFit="1" customWidth="1"/>
    <col min="12808" max="12808" width="18.5546875" style="64" customWidth="1"/>
    <col min="12809" max="12809" width="16.33203125" style="64" customWidth="1"/>
    <col min="12810" max="12810" width="13" style="64" customWidth="1"/>
    <col min="12811" max="12811" width="12.6640625" style="64" customWidth="1"/>
    <col min="12812" max="12812" width="13.33203125" style="64" bestFit="1" customWidth="1"/>
    <col min="12813" max="12813" width="11.5546875" style="64" customWidth="1"/>
    <col min="12814" max="12814" width="11.88671875" style="64" bestFit="1" customWidth="1"/>
    <col min="12815" max="12815" width="17.77734375" style="64" customWidth="1"/>
    <col min="12816" max="12817" width="8.77734375" style="64"/>
    <col min="12818" max="12818" width="29.109375" style="64" customWidth="1"/>
    <col min="12819" max="12819" width="8.77734375" style="64"/>
    <col min="12820" max="12820" width="30.21875" style="64" customWidth="1"/>
    <col min="12821" max="13057" width="8.77734375" style="64"/>
    <col min="13058" max="13058" width="8.88671875" style="64" bestFit="1" customWidth="1"/>
    <col min="13059" max="13059" width="51.33203125" style="64" bestFit="1" customWidth="1"/>
    <col min="13060" max="13060" width="28.77734375" style="64" customWidth="1"/>
    <col min="13061" max="13061" width="24.109375" style="64" bestFit="1" customWidth="1"/>
    <col min="13062" max="13062" width="25.44140625" style="64" bestFit="1" customWidth="1"/>
    <col min="13063" max="13063" width="21.77734375" style="64" bestFit="1" customWidth="1"/>
    <col min="13064" max="13064" width="18.5546875" style="64" customWidth="1"/>
    <col min="13065" max="13065" width="16.33203125" style="64" customWidth="1"/>
    <col min="13066" max="13066" width="13" style="64" customWidth="1"/>
    <col min="13067" max="13067" width="12.6640625" style="64" customWidth="1"/>
    <col min="13068" max="13068" width="13.33203125" style="64" bestFit="1" customWidth="1"/>
    <col min="13069" max="13069" width="11.5546875" style="64" customWidth="1"/>
    <col min="13070" max="13070" width="11.88671875" style="64" bestFit="1" customWidth="1"/>
    <col min="13071" max="13071" width="17.77734375" style="64" customWidth="1"/>
    <col min="13072" max="13073" width="8.77734375" style="64"/>
    <col min="13074" max="13074" width="29.109375" style="64" customWidth="1"/>
    <col min="13075" max="13075" width="8.77734375" style="64"/>
    <col min="13076" max="13076" width="30.21875" style="64" customWidth="1"/>
    <col min="13077" max="13313" width="8.77734375" style="64"/>
    <col min="13314" max="13314" width="8.88671875" style="64" bestFit="1" customWidth="1"/>
    <col min="13315" max="13315" width="51.33203125" style="64" bestFit="1" customWidth="1"/>
    <col min="13316" max="13316" width="28.77734375" style="64" customWidth="1"/>
    <col min="13317" max="13317" width="24.109375" style="64" bestFit="1" customWidth="1"/>
    <col min="13318" max="13318" width="25.44140625" style="64" bestFit="1" customWidth="1"/>
    <col min="13319" max="13319" width="21.77734375" style="64" bestFit="1" customWidth="1"/>
    <col min="13320" max="13320" width="18.5546875" style="64" customWidth="1"/>
    <col min="13321" max="13321" width="16.33203125" style="64" customWidth="1"/>
    <col min="13322" max="13322" width="13" style="64" customWidth="1"/>
    <col min="13323" max="13323" width="12.6640625" style="64" customWidth="1"/>
    <col min="13324" max="13324" width="13.33203125" style="64" bestFit="1" customWidth="1"/>
    <col min="13325" max="13325" width="11.5546875" style="64" customWidth="1"/>
    <col min="13326" max="13326" width="11.88671875" style="64" bestFit="1" customWidth="1"/>
    <col min="13327" max="13327" width="17.77734375" style="64" customWidth="1"/>
    <col min="13328" max="13329" width="8.77734375" style="64"/>
    <col min="13330" max="13330" width="29.109375" style="64" customWidth="1"/>
    <col min="13331" max="13331" width="8.77734375" style="64"/>
    <col min="13332" max="13332" width="30.21875" style="64" customWidth="1"/>
    <col min="13333" max="13569" width="8.77734375" style="64"/>
    <col min="13570" max="13570" width="8.88671875" style="64" bestFit="1" customWidth="1"/>
    <col min="13571" max="13571" width="51.33203125" style="64" bestFit="1" customWidth="1"/>
    <col min="13572" max="13572" width="28.77734375" style="64" customWidth="1"/>
    <col min="13573" max="13573" width="24.109375" style="64" bestFit="1" customWidth="1"/>
    <col min="13574" max="13574" width="25.44140625" style="64" bestFit="1" customWidth="1"/>
    <col min="13575" max="13575" width="21.77734375" style="64" bestFit="1" customWidth="1"/>
    <col min="13576" max="13576" width="18.5546875" style="64" customWidth="1"/>
    <col min="13577" max="13577" width="16.33203125" style="64" customWidth="1"/>
    <col min="13578" max="13578" width="13" style="64" customWidth="1"/>
    <col min="13579" max="13579" width="12.6640625" style="64" customWidth="1"/>
    <col min="13580" max="13580" width="13.33203125" style="64" bestFit="1" customWidth="1"/>
    <col min="13581" max="13581" width="11.5546875" style="64" customWidth="1"/>
    <col min="13582" max="13582" width="11.88671875" style="64" bestFit="1" customWidth="1"/>
    <col min="13583" max="13583" width="17.77734375" style="64" customWidth="1"/>
    <col min="13584" max="13585" width="8.77734375" style="64"/>
    <col min="13586" max="13586" width="29.109375" style="64" customWidth="1"/>
    <col min="13587" max="13587" width="8.77734375" style="64"/>
    <col min="13588" max="13588" width="30.21875" style="64" customWidth="1"/>
    <col min="13589" max="13825" width="8.77734375" style="64"/>
    <col min="13826" max="13826" width="8.88671875" style="64" bestFit="1" customWidth="1"/>
    <col min="13827" max="13827" width="51.33203125" style="64" bestFit="1" customWidth="1"/>
    <col min="13828" max="13828" width="28.77734375" style="64" customWidth="1"/>
    <col min="13829" max="13829" width="24.109375" style="64" bestFit="1" customWidth="1"/>
    <col min="13830" max="13830" width="25.44140625" style="64" bestFit="1" customWidth="1"/>
    <col min="13831" max="13831" width="21.77734375" style="64" bestFit="1" customWidth="1"/>
    <col min="13832" max="13832" width="18.5546875" style="64" customWidth="1"/>
    <col min="13833" max="13833" width="16.33203125" style="64" customWidth="1"/>
    <col min="13834" max="13834" width="13" style="64" customWidth="1"/>
    <col min="13835" max="13835" width="12.6640625" style="64" customWidth="1"/>
    <col min="13836" max="13836" width="13.33203125" style="64" bestFit="1" customWidth="1"/>
    <col min="13837" max="13837" width="11.5546875" style="64" customWidth="1"/>
    <col min="13838" max="13838" width="11.88671875" style="64" bestFit="1" customWidth="1"/>
    <col min="13839" max="13839" width="17.77734375" style="64" customWidth="1"/>
    <col min="13840" max="13841" width="8.77734375" style="64"/>
    <col min="13842" max="13842" width="29.109375" style="64" customWidth="1"/>
    <col min="13843" max="13843" width="8.77734375" style="64"/>
    <col min="13844" max="13844" width="30.21875" style="64" customWidth="1"/>
    <col min="13845" max="14081" width="8.77734375" style="64"/>
    <col min="14082" max="14082" width="8.88671875" style="64" bestFit="1" customWidth="1"/>
    <col min="14083" max="14083" width="51.33203125" style="64" bestFit="1" customWidth="1"/>
    <col min="14084" max="14084" width="28.77734375" style="64" customWidth="1"/>
    <col min="14085" max="14085" width="24.109375" style="64" bestFit="1" customWidth="1"/>
    <col min="14086" max="14086" width="25.44140625" style="64" bestFit="1" customWidth="1"/>
    <col min="14087" max="14087" width="21.77734375" style="64" bestFit="1" customWidth="1"/>
    <col min="14088" max="14088" width="18.5546875" style="64" customWidth="1"/>
    <col min="14089" max="14089" width="16.33203125" style="64" customWidth="1"/>
    <col min="14090" max="14090" width="13" style="64" customWidth="1"/>
    <col min="14091" max="14091" width="12.6640625" style="64" customWidth="1"/>
    <col min="14092" max="14092" width="13.33203125" style="64" bestFit="1" customWidth="1"/>
    <col min="14093" max="14093" width="11.5546875" style="64" customWidth="1"/>
    <col min="14094" max="14094" width="11.88671875" style="64" bestFit="1" customWidth="1"/>
    <col min="14095" max="14095" width="17.77734375" style="64" customWidth="1"/>
    <col min="14096" max="14097" width="8.77734375" style="64"/>
    <col min="14098" max="14098" width="29.109375" style="64" customWidth="1"/>
    <col min="14099" max="14099" width="8.77734375" style="64"/>
    <col min="14100" max="14100" width="30.21875" style="64" customWidth="1"/>
    <col min="14101" max="14337" width="8.77734375" style="64"/>
    <col min="14338" max="14338" width="8.88671875" style="64" bestFit="1" customWidth="1"/>
    <col min="14339" max="14339" width="51.33203125" style="64" bestFit="1" customWidth="1"/>
    <col min="14340" max="14340" width="28.77734375" style="64" customWidth="1"/>
    <col min="14341" max="14341" width="24.109375" style="64" bestFit="1" customWidth="1"/>
    <col min="14342" max="14342" width="25.44140625" style="64" bestFit="1" customWidth="1"/>
    <col min="14343" max="14343" width="21.77734375" style="64" bestFit="1" customWidth="1"/>
    <col min="14344" max="14344" width="18.5546875" style="64" customWidth="1"/>
    <col min="14345" max="14345" width="16.33203125" style="64" customWidth="1"/>
    <col min="14346" max="14346" width="13" style="64" customWidth="1"/>
    <col min="14347" max="14347" width="12.6640625" style="64" customWidth="1"/>
    <col min="14348" max="14348" width="13.33203125" style="64" bestFit="1" customWidth="1"/>
    <col min="14349" max="14349" width="11.5546875" style="64" customWidth="1"/>
    <col min="14350" max="14350" width="11.88671875" style="64" bestFit="1" customWidth="1"/>
    <col min="14351" max="14351" width="17.77734375" style="64" customWidth="1"/>
    <col min="14352" max="14353" width="8.77734375" style="64"/>
    <col min="14354" max="14354" width="29.109375" style="64" customWidth="1"/>
    <col min="14355" max="14355" width="8.77734375" style="64"/>
    <col min="14356" max="14356" width="30.21875" style="64" customWidth="1"/>
    <col min="14357" max="14593" width="8.77734375" style="64"/>
    <col min="14594" max="14594" width="8.88671875" style="64" bestFit="1" customWidth="1"/>
    <col min="14595" max="14595" width="51.33203125" style="64" bestFit="1" customWidth="1"/>
    <col min="14596" max="14596" width="28.77734375" style="64" customWidth="1"/>
    <col min="14597" max="14597" width="24.109375" style="64" bestFit="1" customWidth="1"/>
    <col min="14598" max="14598" width="25.44140625" style="64" bestFit="1" customWidth="1"/>
    <col min="14599" max="14599" width="21.77734375" style="64" bestFit="1" customWidth="1"/>
    <col min="14600" max="14600" width="18.5546875" style="64" customWidth="1"/>
    <col min="14601" max="14601" width="16.33203125" style="64" customWidth="1"/>
    <col min="14602" max="14602" width="13" style="64" customWidth="1"/>
    <col min="14603" max="14603" width="12.6640625" style="64" customWidth="1"/>
    <col min="14604" max="14604" width="13.33203125" style="64" bestFit="1" customWidth="1"/>
    <col min="14605" max="14605" width="11.5546875" style="64" customWidth="1"/>
    <col min="14606" max="14606" width="11.88671875" style="64" bestFit="1" customWidth="1"/>
    <col min="14607" max="14607" width="17.77734375" style="64" customWidth="1"/>
    <col min="14608" max="14609" width="8.77734375" style="64"/>
    <col min="14610" max="14610" width="29.109375" style="64" customWidth="1"/>
    <col min="14611" max="14611" width="8.77734375" style="64"/>
    <col min="14612" max="14612" width="30.21875" style="64" customWidth="1"/>
    <col min="14613" max="14849" width="8.77734375" style="64"/>
    <col min="14850" max="14850" width="8.88671875" style="64" bestFit="1" customWidth="1"/>
    <col min="14851" max="14851" width="51.33203125" style="64" bestFit="1" customWidth="1"/>
    <col min="14852" max="14852" width="28.77734375" style="64" customWidth="1"/>
    <col min="14853" max="14853" width="24.109375" style="64" bestFit="1" customWidth="1"/>
    <col min="14854" max="14854" width="25.44140625" style="64" bestFit="1" customWidth="1"/>
    <col min="14855" max="14855" width="21.77734375" style="64" bestFit="1" customWidth="1"/>
    <col min="14856" max="14856" width="18.5546875" style="64" customWidth="1"/>
    <col min="14857" max="14857" width="16.33203125" style="64" customWidth="1"/>
    <col min="14858" max="14858" width="13" style="64" customWidth="1"/>
    <col min="14859" max="14859" width="12.6640625" style="64" customWidth="1"/>
    <col min="14860" max="14860" width="13.33203125" style="64" bestFit="1" customWidth="1"/>
    <col min="14861" max="14861" width="11.5546875" style="64" customWidth="1"/>
    <col min="14862" max="14862" width="11.88671875" style="64" bestFit="1" customWidth="1"/>
    <col min="14863" max="14863" width="17.77734375" style="64" customWidth="1"/>
    <col min="14864" max="14865" width="8.77734375" style="64"/>
    <col min="14866" max="14866" width="29.109375" style="64" customWidth="1"/>
    <col min="14867" max="14867" width="8.77734375" style="64"/>
    <col min="14868" max="14868" width="30.21875" style="64" customWidth="1"/>
    <col min="14869" max="15105" width="8.77734375" style="64"/>
    <col min="15106" max="15106" width="8.88671875" style="64" bestFit="1" customWidth="1"/>
    <col min="15107" max="15107" width="51.33203125" style="64" bestFit="1" customWidth="1"/>
    <col min="15108" max="15108" width="28.77734375" style="64" customWidth="1"/>
    <col min="15109" max="15109" width="24.109375" style="64" bestFit="1" customWidth="1"/>
    <col min="15110" max="15110" width="25.44140625" style="64" bestFit="1" customWidth="1"/>
    <col min="15111" max="15111" width="21.77734375" style="64" bestFit="1" customWidth="1"/>
    <col min="15112" max="15112" width="18.5546875" style="64" customWidth="1"/>
    <col min="15113" max="15113" width="16.33203125" style="64" customWidth="1"/>
    <col min="15114" max="15114" width="13" style="64" customWidth="1"/>
    <col min="15115" max="15115" width="12.6640625" style="64" customWidth="1"/>
    <col min="15116" max="15116" width="13.33203125" style="64" bestFit="1" customWidth="1"/>
    <col min="15117" max="15117" width="11.5546875" style="64" customWidth="1"/>
    <col min="15118" max="15118" width="11.88671875" style="64" bestFit="1" customWidth="1"/>
    <col min="15119" max="15119" width="17.77734375" style="64" customWidth="1"/>
    <col min="15120" max="15121" width="8.77734375" style="64"/>
    <col min="15122" max="15122" width="29.109375" style="64" customWidth="1"/>
    <col min="15123" max="15123" width="8.77734375" style="64"/>
    <col min="15124" max="15124" width="30.21875" style="64" customWidth="1"/>
    <col min="15125" max="15361" width="8.77734375" style="64"/>
    <col min="15362" max="15362" width="8.88671875" style="64" bestFit="1" customWidth="1"/>
    <col min="15363" max="15363" width="51.33203125" style="64" bestFit="1" customWidth="1"/>
    <col min="15364" max="15364" width="28.77734375" style="64" customWidth="1"/>
    <col min="15365" max="15365" width="24.109375" style="64" bestFit="1" customWidth="1"/>
    <col min="15366" max="15366" width="25.44140625" style="64" bestFit="1" customWidth="1"/>
    <col min="15367" max="15367" width="21.77734375" style="64" bestFit="1" customWidth="1"/>
    <col min="15368" max="15368" width="18.5546875" style="64" customWidth="1"/>
    <col min="15369" max="15369" width="16.33203125" style="64" customWidth="1"/>
    <col min="15370" max="15370" width="13" style="64" customWidth="1"/>
    <col min="15371" max="15371" width="12.6640625" style="64" customWidth="1"/>
    <col min="15372" max="15372" width="13.33203125" style="64" bestFit="1" customWidth="1"/>
    <col min="15373" max="15373" width="11.5546875" style="64" customWidth="1"/>
    <col min="15374" max="15374" width="11.88671875" style="64" bestFit="1" customWidth="1"/>
    <col min="15375" max="15375" width="17.77734375" style="64" customWidth="1"/>
    <col min="15376" max="15377" width="8.77734375" style="64"/>
    <col min="15378" max="15378" width="29.109375" style="64" customWidth="1"/>
    <col min="15379" max="15379" width="8.77734375" style="64"/>
    <col min="15380" max="15380" width="30.21875" style="64" customWidth="1"/>
    <col min="15381" max="15617" width="8.77734375" style="64"/>
    <col min="15618" max="15618" width="8.88671875" style="64" bestFit="1" customWidth="1"/>
    <col min="15619" max="15619" width="51.33203125" style="64" bestFit="1" customWidth="1"/>
    <col min="15620" max="15620" width="28.77734375" style="64" customWidth="1"/>
    <col min="15621" max="15621" width="24.109375" style="64" bestFit="1" customWidth="1"/>
    <col min="15622" max="15622" width="25.44140625" style="64" bestFit="1" customWidth="1"/>
    <col min="15623" max="15623" width="21.77734375" style="64" bestFit="1" customWidth="1"/>
    <col min="15624" max="15624" width="18.5546875" style="64" customWidth="1"/>
    <col min="15625" max="15625" width="16.33203125" style="64" customWidth="1"/>
    <col min="15626" max="15626" width="13" style="64" customWidth="1"/>
    <col min="15627" max="15627" width="12.6640625" style="64" customWidth="1"/>
    <col min="15628" max="15628" width="13.33203125" style="64" bestFit="1" customWidth="1"/>
    <col min="15629" max="15629" width="11.5546875" style="64" customWidth="1"/>
    <col min="15630" max="15630" width="11.88671875" style="64" bestFit="1" customWidth="1"/>
    <col min="15631" max="15631" width="17.77734375" style="64" customWidth="1"/>
    <col min="15632" max="15633" width="8.77734375" style="64"/>
    <col min="15634" max="15634" width="29.109375" style="64" customWidth="1"/>
    <col min="15635" max="15635" width="8.77734375" style="64"/>
    <col min="15636" max="15636" width="30.21875" style="64" customWidth="1"/>
    <col min="15637" max="15873" width="8.77734375" style="64"/>
    <col min="15874" max="15874" width="8.88671875" style="64" bestFit="1" customWidth="1"/>
    <col min="15875" max="15875" width="51.33203125" style="64" bestFit="1" customWidth="1"/>
    <col min="15876" max="15876" width="28.77734375" style="64" customWidth="1"/>
    <col min="15877" max="15877" width="24.109375" style="64" bestFit="1" customWidth="1"/>
    <col min="15878" max="15878" width="25.44140625" style="64" bestFit="1" customWidth="1"/>
    <col min="15879" max="15879" width="21.77734375" style="64" bestFit="1" customWidth="1"/>
    <col min="15880" max="15880" width="18.5546875" style="64" customWidth="1"/>
    <col min="15881" max="15881" width="16.33203125" style="64" customWidth="1"/>
    <col min="15882" max="15882" width="13" style="64" customWidth="1"/>
    <col min="15883" max="15883" width="12.6640625" style="64" customWidth="1"/>
    <col min="15884" max="15884" width="13.33203125" style="64" bestFit="1" customWidth="1"/>
    <col min="15885" max="15885" width="11.5546875" style="64" customWidth="1"/>
    <col min="15886" max="15886" width="11.88671875" style="64" bestFit="1" customWidth="1"/>
    <col min="15887" max="15887" width="17.77734375" style="64" customWidth="1"/>
    <col min="15888" max="15889" width="8.77734375" style="64"/>
    <col min="15890" max="15890" width="29.109375" style="64" customWidth="1"/>
    <col min="15891" max="15891" width="8.77734375" style="64"/>
    <col min="15892" max="15892" width="30.21875" style="64" customWidth="1"/>
    <col min="15893" max="16129" width="8.77734375" style="64"/>
    <col min="16130" max="16130" width="8.88671875" style="64" bestFit="1" customWidth="1"/>
    <col min="16131" max="16131" width="51.33203125" style="64" bestFit="1" customWidth="1"/>
    <col min="16132" max="16132" width="28.77734375" style="64" customWidth="1"/>
    <col min="16133" max="16133" width="24.109375" style="64" bestFit="1" customWidth="1"/>
    <col min="16134" max="16134" width="25.44140625" style="64" bestFit="1" customWidth="1"/>
    <col min="16135" max="16135" width="21.77734375" style="64" bestFit="1" customWidth="1"/>
    <col min="16136" max="16136" width="18.5546875" style="64" customWidth="1"/>
    <col min="16137" max="16137" width="16.33203125" style="64" customWidth="1"/>
    <col min="16138" max="16138" width="13" style="64" customWidth="1"/>
    <col min="16139" max="16139" width="12.6640625" style="64" customWidth="1"/>
    <col min="16140" max="16140" width="13.33203125" style="64" bestFit="1" customWidth="1"/>
    <col min="16141" max="16141" width="11.5546875" style="64" customWidth="1"/>
    <col min="16142" max="16142" width="11.88671875" style="64" bestFit="1" customWidth="1"/>
    <col min="16143" max="16143" width="17.77734375" style="64" customWidth="1"/>
    <col min="16144" max="16145" width="8.77734375" style="64"/>
    <col min="16146" max="16146" width="29.109375" style="64" customWidth="1"/>
    <col min="16147" max="16147" width="8.77734375" style="64"/>
    <col min="16148" max="16148" width="30.21875" style="64" customWidth="1"/>
    <col min="16149" max="16384" width="8.77734375" style="64"/>
  </cols>
  <sheetData>
    <row r="1" spans="2:15">
      <c r="B1" s="266"/>
      <c r="C1" s="267"/>
      <c r="D1" s="267"/>
      <c r="E1" s="267"/>
      <c r="F1" s="267"/>
      <c r="G1" s="267"/>
      <c r="H1" s="267"/>
      <c r="I1" s="267"/>
      <c r="J1" s="267"/>
      <c r="K1" s="267"/>
      <c r="L1" s="267"/>
      <c r="M1" s="267"/>
      <c r="N1" s="267"/>
      <c r="O1" s="268"/>
    </row>
    <row r="2" spans="2:15">
      <c r="B2" s="269"/>
      <c r="C2" s="270"/>
      <c r="D2" s="270"/>
      <c r="E2" s="270"/>
      <c r="F2" s="270"/>
      <c r="G2" s="270"/>
      <c r="H2" s="270"/>
      <c r="I2" s="270"/>
      <c r="J2" s="270"/>
      <c r="K2" s="270"/>
      <c r="L2" s="270"/>
      <c r="M2" s="270"/>
      <c r="N2" s="270"/>
      <c r="O2" s="271"/>
    </row>
    <row r="3" spans="2:15">
      <c r="B3" s="269"/>
      <c r="C3" s="270"/>
      <c r="D3" s="270"/>
      <c r="E3" s="270"/>
      <c r="F3" s="270"/>
      <c r="G3" s="270"/>
      <c r="H3" s="270"/>
      <c r="I3" s="270"/>
      <c r="J3" s="270"/>
      <c r="K3" s="270"/>
      <c r="L3" s="270"/>
      <c r="M3" s="270"/>
      <c r="N3" s="270"/>
      <c r="O3" s="271"/>
    </row>
    <row r="4" spans="2:15">
      <c r="B4" s="272"/>
      <c r="C4" s="273"/>
      <c r="D4" s="273"/>
      <c r="E4" s="273"/>
      <c r="F4" s="273"/>
      <c r="G4" s="273"/>
      <c r="H4" s="273"/>
      <c r="I4" s="273"/>
      <c r="J4" s="273"/>
      <c r="K4" s="273"/>
      <c r="L4" s="273"/>
      <c r="M4" s="273"/>
      <c r="N4" s="273"/>
      <c r="O4" s="274"/>
    </row>
    <row r="5" spans="2:15">
      <c r="B5" s="275" t="s">
        <v>48</v>
      </c>
      <c r="C5" s="275"/>
      <c r="D5" s="275"/>
      <c r="E5" s="65" t="s">
        <v>49</v>
      </c>
      <c r="F5" s="65" t="s">
        <v>50</v>
      </c>
      <c r="G5" s="65" t="s">
        <v>51</v>
      </c>
      <c r="H5" s="276" t="s">
        <v>52</v>
      </c>
      <c r="I5" s="276"/>
      <c r="J5" s="276"/>
      <c r="K5" s="277" t="s">
        <v>53</v>
      </c>
      <c r="L5" s="278"/>
      <c r="M5" s="278"/>
      <c r="N5" s="279"/>
      <c r="O5" s="65" t="s">
        <v>54</v>
      </c>
    </row>
    <row r="6" spans="2:15" s="67" customFormat="1" ht="58.05" customHeight="1">
      <c r="B6" s="280" t="s">
        <v>55</v>
      </c>
      <c r="C6" s="281" t="s">
        <v>56</v>
      </c>
      <c r="D6" s="281" t="s">
        <v>57</v>
      </c>
      <c r="E6" s="282" t="s">
        <v>58</v>
      </c>
      <c r="F6" s="282" t="s">
        <v>59</v>
      </c>
      <c r="G6" s="282" t="s">
        <v>60</v>
      </c>
      <c r="H6" s="282" t="s">
        <v>61</v>
      </c>
      <c r="I6" s="282"/>
      <c r="J6" s="282" t="s">
        <v>62</v>
      </c>
      <c r="K6" s="283" t="s">
        <v>63</v>
      </c>
      <c r="L6" s="284"/>
      <c r="M6" s="283" t="s">
        <v>64</v>
      </c>
      <c r="N6" s="284"/>
      <c r="O6" s="282" t="s">
        <v>65</v>
      </c>
    </row>
    <row r="7" spans="2:15" s="67" customFormat="1">
      <c r="B7" s="280"/>
      <c r="C7" s="281"/>
      <c r="D7" s="281"/>
      <c r="E7" s="282"/>
      <c r="F7" s="282"/>
      <c r="G7" s="282"/>
      <c r="H7" s="68" t="s">
        <v>66</v>
      </c>
      <c r="I7" s="68" t="s">
        <v>67</v>
      </c>
      <c r="J7" s="282"/>
      <c r="K7" s="66" t="s">
        <v>68</v>
      </c>
      <c r="L7" s="66" t="s">
        <v>69</v>
      </c>
      <c r="M7" s="66" t="s">
        <v>68</v>
      </c>
      <c r="N7" s="66" t="s">
        <v>69</v>
      </c>
      <c r="O7" s="282"/>
    </row>
    <row r="8" spans="2:15">
      <c r="B8" s="69">
        <v>1</v>
      </c>
      <c r="C8" s="70" t="s">
        <v>70</v>
      </c>
      <c r="D8" s="70" t="s">
        <v>71</v>
      </c>
      <c r="E8" s="263">
        <v>2400000</v>
      </c>
      <c r="F8" s="71">
        <f>215000*8</f>
        <v>1720000</v>
      </c>
      <c r="G8" s="71">
        <v>722795.1</v>
      </c>
      <c r="H8" s="71">
        <v>0</v>
      </c>
      <c r="I8" s="71">
        <v>0</v>
      </c>
      <c r="J8" s="72">
        <v>0</v>
      </c>
      <c r="K8" s="72"/>
      <c r="L8" s="72"/>
      <c r="M8" s="72"/>
      <c r="N8" s="72"/>
      <c r="O8" s="72">
        <f t="shared" ref="O8:O13" si="0">+F8+H8-I8+J8+K8-L8+M8-N8</f>
        <v>1720000</v>
      </c>
    </row>
    <row r="9" spans="2:15">
      <c r="B9" s="69">
        <v>2</v>
      </c>
      <c r="C9" s="70" t="s">
        <v>72</v>
      </c>
      <c r="D9" s="70" t="s">
        <v>73</v>
      </c>
      <c r="E9" s="264"/>
      <c r="F9" s="71">
        <v>740000</v>
      </c>
      <c r="G9" s="71">
        <v>250000</v>
      </c>
      <c r="H9" s="71">
        <v>0</v>
      </c>
      <c r="I9" s="71">
        <v>0</v>
      </c>
      <c r="J9" s="72">
        <v>0</v>
      </c>
      <c r="K9" s="72"/>
      <c r="L9" s="72"/>
      <c r="M9" s="72"/>
      <c r="N9" s="72"/>
      <c r="O9" s="72">
        <f t="shared" si="0"/>
        <v>740000</v>
      </c>
    </row>
    <row r="10" spans="2:15">
      <c r="B10" s="69">
        <v>2.1</v>
      </c>
      <c r="C10" s="70" t="s">
        <v>72</v>
      </c>
      <c r="D10" s="70" t="s">
        <v>74</v>
      </c>
      <c r="E10" s="265"/>
      <c r="F10" s="71">
        <v>750000</v>
      </c>
      <c r="G10" s="71">
        <v>750000</v>
      </c>
      <c r="H10" s="71">
        <v>0</v>
      </c>
      <c r="I10" s="71">
        <v>0</v>
      </c>
      <c r="J10" s="72">
        <v>0</v>
      </c>
      <c r="K10" s="72"/>
      <c r="L10" s="72"/>
      <c r="M10" s="72"/>
      <c r="N10" s="72"/>
      <c r="O10" s="72">
        <f t="shared" si="0"/>
        <v>750000</v>
      </c>
    </row>
    <row r="11" spans="2:15">
      <c r="B11" s="69">
        <v>3</v>
      </c>
      <c r="C11" s="70" t="s">
        <v>75</v>
      </c>
      <c r="D11" s="70"/>
      <c r="E11" s="71"/>
      <c r="F11" s="71"/>
      <c r="G11" s="71"/>
      <c r="H11" s="71"/>
      <c r="I11" s="71"/>
      <c r="J11" s="72"/>
      <c r="K11" s="71"/>
      <c r="L11" s="71"/>
      <c r="M11" s="71"/>
      <c r="N11" s="71"/>
      <c r="O11" s="72">
        <f t="shared" si="0"/>
        <v>0</v>
      </c>
    </row>
    <row r="12" spans="2:15">
      <c r="B12" s="73">
        <v>3.1</v>
      </c>
      <c r="C12" s="74" t="s">
        <v>76</v>
      </c>
      <c r="D12" s="74" t="s">
        <v>77</v>
      </c>
      <c r="E12" s="75">
        <v>57100726.955809996</v>
      </c>
      <c r="F12" s="75">
        <v>57673579</v>
      </c>
      <c r="G12" s="75">
        <f>14557976+2592839+2639623+693242</f>
        <v>20483680</v>
      </c>
      <c r="H12" s="75">
        <f>[2]Monitoring!P72</f>
        <v>5521220.1684367228</v>
      </c>
      <c r="I12" s="75">
        <f>+[2]Monitoring!Q72</f>
        <v>13474470.906215001</v>
      </c>
      <c r="J12" s="76">
        <f>+[2]Monitoring!M72</f>
        <v>1592674.46</v>
      </c>
      <c r="K12" s="75">
        <f>'[2]STEEL RATE DIFFRENCE'!K39</f>
        <v>0</v>
      </c>
      <c r="L12" s="75">
        <f>'[2]STEEL RATE DIFFRENCE'!L39</f>
        <v>1516623.2295999995</v>
      </c>
      <c r="M12" s="75">
        <f>'[2]CEMENT RATE DIFFRENCE'!J10</f>
        <v>0</v>
      </c>
      <c r="N12" s="75">
        <f>'[2]CEMENT RATE DIFFRENCE'!K10</f>
        <v>148883.4</v>
      </c>
      <c r="O12" s="75">
        <f t="shared" si="0"/>
        <v>49647496.092621729</v>
      </c>
    </row>
    <row r="13" spans="2:15">
      <c r="B13" s="73" t="s">
        <v>78</v>
      </c>
      <c r="C13" s="74" t="s">
        <v>79</v>
      </c>
      <c r="D13" s="74" t="s">
        <v>80</v>
      </c>
      <c r="E13" s="75">
        <v>35532</v>
      </c>
      <c r="F13" s="75">
        <v>35532</v>
      </c>
      <c r="G13" s="75"/>
      <c r="H13" s="75"/>
      <c r="I13" s="75"/>
      <c r="J13" s="76"/>
      <c r="K13" s="75"/>
      <c r="L13" s="75"/>
      <c r="M13" s="75"/>
      <c r="N13" s="75"/>
      <c r="O13" s="75">
        <f t="shared" si="0"/>
        <v>35532</v>
      </c>
    </row>
    <row r="14" spans="2:15">
      <c r="B14" s="73">
        <v>3.2</v>
      </c>
      <c r="C14" s="74" t="s">
        <v>81</v>
      </c>
      <c r="D14" s="74"/>
      <c r="E14" s="75">
        <v>3600000</v>
      </c>
      <c r="F14" s="75"/>
      <c r="G14" s="75">
        <v>0</v>
      </c>
      <c r="H14" s="75">
        <v>0</v>
      </c>
      <c r="I14" s="75">
        <v>0</v>
      </c>
      <c r="J14" s="76">
        <v>0</v>
      </c>
      <c r="K14" s="75"/>
      <c r="L14" s="75"/>
      <c r="M14" s="75"/>
      <c r="N14" s="75"/>
      <c r="O14" s="75">
        <v>3600000</v>
      </c>
    </row>
    <row r="15" spans="2:15">
      <c r="B15" s="73">
        <v>3.3</v>
      </c>
      <c r="C15" s="74" t="s">
        <v>82</v>
      </c>
      <c r="D15" s="74"/>
      <c r="E15" s="75">
        <v>1000000</v>
      </c>
      <c r="F15" s="75">
        <v>1790460</v>
      </c>
      <c r="G15" s="75">
        <v>895230</v>
      </c>
      <c r="H15" s="75">
        <v>0</v>
      </c>
      <c r="I15" s="75">
        <v>0</v>
      </c>
      <c r="J15" s="76">
        <v>0</v>
      </c>
      <c r="K15" s="75"/>
      <c r="L15" s="75"/>
      <c r="M15" s="75"/>
      <c r="N15" s="75"/>
      <c r="O15" s="75">
        <f>+F15+H15-I15+J15+K15-L15+M15-N15</f>
        <v>1790460</v>
      </c>
    </row>
    <row r="16" spans="2:15">
      <c r="B16" s="73">
        <v>3.4</v>
      </c>
      <c r="C16" s="74" t="s">
        <v>83</v>
      </c>
      <c r="D16" s="74"/>
      <c r="E16" s="285">
        <v>5000000</v>
      </c>
      <c r="F16" s="75"/>
      <c r="G16" s="75">
        <v>0</v>
      </c>
      <c r="H16" s="75">
        <v>0</v>
      </c>
      <c r="I16" s="75">
        <v>0</v>
      </c>
      <c r="J16" s="76">
        <v>0</v>
      </c>
      <c r="K16" s="75"/>
      <c r="L16" s="75"/>
      <c r="M16" s="75"/>
      <c r="N16" s="75"/>
      <c r="O16" s="75">
        <v>4649950</v>
      </c>
    </row>
    <row r="17" spans="2:15">
      <c r="B17" s="73" t="s">
        <v>84</v>
      </c>
      <c r="C17" s="74" t="s">
        <v>85</v>
      </c>
      <c r="D17" s="74" t="s">
        <v>86</v>
      </c>
      <c r="E17" s="286"/>
      <c r="F17" s="75">
        <v>350050</v>
      </c>
      <c r="G17" s="75">
        <v>333900</v>
      </c>
      <c r="H17" s="75">
        <v>0</v>
      </c>
      <c r="I17" s="75">
        <v>0</v>
      </c>
      <c r="J17" s="76">
        <v>0</v>
      </c>
      <c r="K17" s="75"/>
      <c r="L17" s="75"/>
      <c r="M17" s="75"/>
      <c r="N17" s="75"/>
      <c r="O17" s="75">
        <f>+F17+H17-I17+J17+K17-L17+M17-N17</f>
        <v>350050</v>
      </c>
    </row>
    <row r="18" spans="2:15">
      <c r="B18" s="73">
        <v>3.5</v>
      </c>
      <c r="C18" s="74" t="s">
        <v>87</v>
      </c>
      <c r="D18" s="74"/>
      <c r="E18" s="75">
        <v>6000000</v>
      </c>
      <c r="F18" s="75"/>
      <c r="G18" s="75">
        <v>0</v>
      </c>
      <c r="H18" s="75">
        <v>0</v>
      </c>
      <c r="I18" s="75">
        <v>0</v>
      </c>
      <c r="J18" s="76">
        <v>0</v>
      </c>
      <c r="K18" s="75"/>
      <c r="L18" s="75"/>
      <c r="M18" s="75"/>
      <c r="N18" s="75"/>
      <c r="O18" s="75">
        <v>6000000</v>
      </c>
    </row>
    <row r="19" spans="2:15">
      <c r="B19" s="73">
        <v>3.6</v>
      </c>
      <c r="C19" s="74" t="s">
        <v>88</v>
      </c>
      <c r="D19" s="74"/>
      <c r="E19" s="75">
        <v>5000000</v>
      </c>
      <c r="F19" s="75"/>
      <c r="G19" s="75">
        <v>0</v>
      </c>
      <c r="H19" s="75">
        <v>0</v>
      </c>
      <c r="I19" s="75">
        <v>0</v>
      </c>
      <c r="J19" s="76">
        <v>0</v>
      </c>
      <c r="K19" s="75"/>
      <c r="L19" s="75"/>
      <c r="M19" s="75"/>
      <c r="N19" s="75"/>
      <c r="O19" s="75">
        <v>5000000</v>
      </c>
    </row>
    <row r="20" spans="2:15">
      <c r="B20" s="73">
        <v>3.7</v>
      </c>
      <c r="C20" s="74" t="s">
        <v>89</v>
      </c>
      <c r="D20" s="74"/>
      <c r="E20" s="75">
        <v>2063250</v>
      </c>
      <c r="F20" s="75"/>
      <c r="G20" s="75">
        <v>0</v>
      </c>
      <c r="H20" s="75">
        <v>0</v>
      </c>
      <c r="I20" s="75">
        <v>0</v>
      </c>
      <c r="J20" s="76">
        <v>0</v>
      </c>
      <c r="K20" s="75"/>
      <c r="L20" s="75"/>
      <c r="M20" s="75"/>
      <c r="N20" s="75"/>
      <c r="O20" s="75">
        <v>2063250</v>
      </c>
    </row>
    <row r="21" spans="2:15">
      <c r="B21" s="73">
        <v>3.8</v>
      </c>
      <c r="C21" s="74" t="s">
        <v>90</v>
      </c>
      <c r="D21" s="74"/>
      <c r="E21" s="75">
        <v>1449000</v>
      </c>
      <c r="F21" s="75"/>
      <c r="G21" s="75">
        <v>0</v>
      </c>
      <c r="H21" s="75">
        <v>0</v>
      </c>
      <c r="I21" s="75">
        <v>0</v>
      </c>
      <c r="J21" s="76">
        <v>0</v>
      </c>
      <c r="K21" s="75"/>
      <c r="L21" s="75"/>
      <c r="M21" s="75"/>
      <c r="N21" s="75"/>
      <c r="O21" s="75">
        <v>1449000</v>
      </c>
    </row>
    <row r="22" spans="2:15">
      <c r="B22" s="73">
        <v>4</v>
      </c>
      <c r="C22" s="74" t="s">
        <v>91</v>
      </c>
      <c r="D22" s="74" t="s">
        <v>92</v>
      </c>
      <c r="E22" s="75">
        <v>5258950</v>
      </c>
      <c r="F22" s="75">
        <v>7053515</v>
      </c>
      <c r="G22" s="75">
        <v>0</v>
      </c>
      <c r="H22" s="75">
        <v>0</v>
      </c>
      <c r="I22" s="75">
        <v>0</v>
      </c>
      <c r="J22" s="76">
        <v>0</v>
      </c>
      <c r="K22" s="75"/>
      <c r="L22" s="75"/>
      <c r="M22" s="75"/>
      <c r="N22" s="75"/>
      <c r="O22" s="75">
        <f>+F22+H22-I22+J22+K22-L22+M22-N22</f>
        <v>7053515</v>
      </c>
    </row>
    <row r="23" spans="2:15">
      <c r="B23" s="73">
        <v>5</v>
      </c>
      <c r="C23" s="74" t="s">
        <v>93</v>
      </c>
      <c r="D23" s="74"/>
      <c r="E23" s="75">
        <v>5258950</v>
      </c>
      <c r="F23" s="75"/>
      <c r="G23" s="75">
        <v>0</v>
      </c>
      <c r="H23" s="75">
        <v>0</v>
      </c>
      <c r="I23" s="75">
        <v>0</v>
      </c>
      <c r="J23" s="76">
        <v>0</v>
      </c>
      <c r="K23" s="75"/>
      <c r="L23" s="75"/>
      <c r="M23" s="75"/>
      <c r="N23" s="75"/>
      <c r="O23" s="75">
        <v>5258950</v>
      </c>
    </row>
    <row r="24" spans="2:15">
      <c r="B24" s="73">
        <v>6</v>
      </c>
      <c r="C24" s="74" t="s">
        <v>94</v>
      </c>
      <c r="D24" s="74"/>
      <c r="E24" s="75">
        <v>9146000</v>
      </c>
      <c r="F24" s="75"/>
      <c r="G24" s="75">
        <v>0</v>
      </c>
      <c r="H24" s="75">
        <v>0</v>
      </c>
      <c r="I24" s="75">
        <v>0</v>
      </c>
      <c r="J24" s="76">
        <v>0</v>
      </c>
      <c r="K24" s="75"/>
      <c r="L24" s="75"/>
      <c r="M24" s="75"/>
      <c r="N24" s="75"/>
      <c r="O24" s="75">
        <v>9146000</v>
      </c>
    </row>
    <row r="25" spans="2:15">
      <c r="B25" s="73">
        <v>7</v>
      </c>
      <c r="C25" s="74" t="s">
        <v>95</v>
      </c>
      <c r="D25" s="74"/>
      <c r="E25" s="75">
        <v>1143250</v>
      </c>
      <c r="F25" s="75"/>
      <c r="G25" s="75">
        <v>0</v>
      </c>
      <c r="H25" s="75">
        <v>0</v>
      </c>
      <c r="I25" s="75">
        <v>0</v>
      </c>
      <c r="J25" s="76">
        <v>0</v>
      </c>
      <c r="K25" s="75"/>
      <c r="L25" s="75"/>
      <c r="M25" s="75"/>
      <c r="N25" s="75"/>
      <c r="O25" s="75">
        <v>1143250</v>
      </c>
    </row>
    <row r="26" spans="2:15">
      <c r="B26" s="73">
        <v>8</v>
      </c>
      <c r="C26" s="74" t="s">
        <v>96</v>
      </c>
      <c r="D26" s="74"/>
      <c r="E26" s="75">
        <v>228650</v>
      </c>
      <c r="F26" s="75"/>
      <c r="G26" s="75">
        <v>0</v>
      </c>
      <c r="H26" s="75">
        <v>0</v>
      </c>
      <c r="I26" s="75">
        <v>0</v>
      </c>
      <c r="J26" s="76">
        <v>0</v>
      </c>
      <c r="K26" s="75"/>
      <c r="L26" s="75"/>
      <c r="M26" s="75"/>
      <c r="N26" s="75"/>
      <c r="O26" s="75">
        <v>228650</v>
      </c>
    </row>
    <row r="27" spans="2:15">
      <c r="B27" s="287" t="s">
        <v>97</v>
      </c>
      <c r="C27" s="287"/>
      <c r="D27" s="287"/>
      <c r="E27" s="77">
        <f t="shared" ref="E27:O27" si="1">SUM(E8:E26)</f>
        <v>104684308.95581</v>
      </c>
      <c r="F27" s="77">
        <f t="shared" si="1"/>
        <v>70113136</v>
      </c>
      <c r="G27" s="77">
        <f t="shared" si="1"/>
        <v>23435605.100000001</v>
      </c>
      <c r="H27" s="77">
        <f t="shared" si="1"/>
        <v>5521220.1684367228</v>
      </c>
      <c r="I27" s="77">
        <f t="shared" si="1"/>
        <v>13474470.906215001</v>
      </c>
      <c r="J27" s="77">
        <f t="shared" si="1"/>
        <v>1592674.46</v>
      </c>
      <c r="K27" s="77">
        <f t="shared" si="1"/>
        <v>0</v>
      </c>
      <c r="L27" s="77">
        <f t="shared" si="1"/>
        <v>1516623.2295999995</v>
      </c>
      <c r="M27" s="77">
        <f t="shared" si="1"/>
        <v>0</v>
      </c>
      <c r="N27" s="77">
        <f t="shared" si="1"/>
        <v>148883.4</v>
      </c>
      <c r="O27" s="77">
        <f t="shared" si="1"/>
        <v>100626103.09262173</v>
      </c>
    </row>
    <row r="28" spans="2:15">
      <c r="B28" s="287" t="s">
        <v>98</v>
      </c>
      <c r="C28" s="287"/>
      <c r="D28" s="287"/>
      <c r="E28" s="77">
        <f t="shared" ref="E28:O28" si="2">+E27*18%</f>
        <v>18843175.612045798</v>
      </c>
      <c r="F28" s="77">
        <f t="shared" si="2"/>
        <v>12620364.48</v>
      </c>
      <c r="G28" s="77">
        <f t="shared" si="2"/>
        <v>4218408.9180000005</v>
      </c>
      <c r="H28" s="77">
        <f t="shared" si="2"/>
        <v>993819.63031861011</v>
      </c>
      <c r="I28" s="77">
        <f t="shared" si="2"/>
        <v>2425404.7631187001</v>
      </c>
      <c r="J28" s="77">
        <f t="shared" si="2"/>
        <v>286681.40279999998</v>
      </c>
      <c r="K28" s="77">
        <f t="shared" si="2"/>
        <v>0</v>
      </c>
      <c r="L28" s="77">
        <f t="shared" si="2"/>
        <v>272992.18132799992</v>
      </c>
      <c r="M28" s="77">
        <f t="shared" si="2"/>
        <v>0</v>
      </c>
      <c r="N28" s="77">
        <f t="shared" si="2"/>
        <v>26799.011999999999</v>
      </c>
      <c r="O28" s="77">
        <f t="shared" si="2"/>
        <v>18112698.55667191</v>
      </c>
    </row>
    <row r="29" spans="2:15">
      <c r="B29" s="287" t="s">
        <v>99</v>
      </c>
      <c r="C29" s="287"/>
      <c r="D29" s="287"/>
      <c r="E29" s="77">
        <f>+E27+E28</f>
        <v>123527484.56785579</v>
      </c>
      <c r="F29" s="77">
        <f t="shared" ref="F29:O29" si="3">+F27+F28</f>
        <v>82733500.480000004</v>
      </c>
      <c r="G29" s="77">
        <f t="shared" si="3"/>
        <v>27654014.018000003</v>
      </c>
      <c r="H29" s="77">
        <f t="shared" si="3"/>
        <v>6515039.7987553328</v>
      </c>
      <c r="I29" s="77">
        <f t="shared" si="3"/>
        <v>15899875.6693337</v>
      </c>
      <c r="J29" s="77">
        <f t="shared" si="3"/>
        <v>1879355.8628</v>
      </c>
      <c r="K29" s="77">
        <f t="shared" si="3"/>
        <v>0</v>
      </c>
      <c r="L29" s="77">
        <f t="shared" si="3"/>
        <v>1789615.4109279993</v>
      </c>
      <c r="M29" s="77">
        <f t="shared" si="3"/>
        <v>0</v>
      </c>
      <c r="N29" s="77">
        <f t="shared" si="3"/>
        <v>175682.41199999998</v>
      </c>
      <c r="O29" s="77">
        <f t="shared" si="3"/>
        <v>118738801.64929363</v>
      </c>
    </row>
    <row r="30" spans="2:15">
      <c r="B30" s="288" t="s">
        <v>100</v>
      </c>
      <c r="C30" s="288"/>
      <c r="D30" s="288"/>
      <c r="E30" s="78" t="str">
        <f>IF(O27&gt;E27,"Over Amount From Budget ( Basic Amount ) : "&amp;ROUNDUP(O27-E27,0),IF(O27&lt;E27,"Reamaining Amount From Budget ( Basic Amount ) : "&amp;ROUNDUP(O27-E27,0),""))</f>
        <v>Reamaining Amount From Budget ( Basic Amount ) : -4058206</v>
      </c>
      <c r="F30" s="78"/>
      <c r="G30" s="78"/>
      <c r="H30" s="78"/>
      <c r="I30" s="78"/>
      <c r="J30" s="78"/>
      <c r="K30" s="78"/>
      <c r="L30" s="78"/>
      <c r="M30" s="78"/>
      <c r="N30" s="78"/>
      <c r="O30" s="78"/>
    </row>
    <row r="37" spans="3:6">
      <c r="E37" s="64"/>
      <c r="F37" s="64"/>
    </row>
    <row r="38" spans="3:6">
      <c r="E38" s="64"/>
      <c r="F38" s="64"/>
    </row>
    <row r="39" spans="3:6">
      <c r="C39" s="214" t="s">
        <v>251</v>
      </c>
      <c r="D39" s="215">
        <f>E27</f>
        <v>104684308.95581</v>
      </c>
      <c r="E39" s="64"/>
      <c r="F39" s="64"/>
    </row>
    <row r="40" spans="3:6">
      <c r="C40" s="214" t="s">
        <v>252</v>
      </c>
      <c r="D40" s="215">
        <f>F27</f>
        <v>70113136</v>
      </c>
      <c r="E40" s="64"/>
      <c r="F40" s="64"/>
    </row>
    <row r="41" spans="3:6">
      <c r="C41" s="214" t="s">
        <v>253</v>
      </c>
      <c r="D41" s="215">
        <f>G27</f>
        <v>23435605.100000001</v>
      </c>
      <c r="E41" s="64"/>
      <c r="F41" s="64"/>
    </row>
    <row r="42" spans="3:6">
      <c r="E42" s="64"/>
      <c r="F42" s="64"/>
    </row>
    <row r="43" spans="3:6">
      <c r="C43" s="214" t="s">
        <v>254</v>
      </c>
      <c r="D43" s="216">
        <f>E27</f>
        <v>104684308.95581</v>
      </c>
      <c r="E43" s="64"/>
      <c r="F43" s="64"/>
    </row>
    <row r="44" spans="3:6">
      <c r="C44" s="214" t="s">
        <v>255</v>
      </c>
      <c r="D44" s="216">
        <f>O27</f>
        <v>100626103.09262173</v>
      </c>
    </row>
    <row r="45" spans="3:6">
      <c r="C45" s="214" t="s">
        <v>256</v>
      </c>
      <c r="D45" s="216">
        <f>D44-D43</f>
        <v>-4058205.8631882668</v>
      </c>
    </row>
    <row r="46" spans="3:6">
      <c r="C46" s="212"/>
      <c r="D46" s="213"/>
    </row>
    <row r="47" spans="3:6">
      <c r="C47" s="212"/>
      <c r="D47" s="213"/>
    </row>
    <row r="48" spans="3:6">
      <c r="C48" s="212"/>
      <c r="D48" s="213"/>
    </row>
    <row r="49" spans="3:4">
      <c r="C49" s="212"/>
      <c r="D49" s="213"/>
    </row>
    <row r="50" spans="3:4">
      <c r="C50" s="212"/>
      <c r="D50" s="213"/>
    </row>
    <row r="51" spans="3:4">
      <c r="C51" s="212"/>
      <c r="D51" s="213"/>
    </row>
    <row r="52" spans="3:4">
      <c r="C52" s="212"/>
      <c r="D52" s="213"/>
    </row>
    <row r="53" spans="3:4">
      <c r="C53" s="212"/>
      <c r="D53" s="213"/>
    </row>
    <row r="54" spans="3:4">
      <c r="C54" s="212"/>
      <c r="D54" s="213"/>
    </row>
    <row r="55" spans="3:4">
      <c r="C55" s="212"/>
      <c r="D55" s="213"/>
    </row>
    <row r="56" spans="3:4">
      <c r="C56" s="212"/>
      <c r="D56" s="213"/>
    </row>
  </sheetData>
  <sheetProtection formatCells="0" formatColumns="0" formatRows="0" insertColumns="0" insertRows="0" insertHyperlinks="0" deleteColumns="0" deleteRows="0" sort="0" autoFilter="0" pivotTables="0"/>
  <mergeCells count="21">
    <mergeCell ref="E16:E17"/>
    <mergeCell ref="B27:D27"/>
    <mergeCell ref="B28:D28"/>
    <mergeCell ref="B29:D29"/>
    <mergeCell ref="B30:D30"/>
    <mergeCell ref="E8:E10"/>
    <mergeCell ref="B1:O4"/>
    <mergeCell ref="B5:D5"/>
    <mergeCell ref="H5:J5"/>
    <mergeCell ref="K5:N5"/>
    <mergeCell ref="B6:B7"/>
    <mergeCell ref="C6:C7"/>
    <mergeCell ref="D6:D7"/>
    <mergeCell ref="E6:E7"/>
    <mergeCell ref="F6:F7"/>
    <mergeCell ref="G6:G7"/>
    <mergeCell ref="H6:I6"/>
    <mergeCell ref="J6:J7"/>
    <mergeCell ref="K6:L6"/>
    <mergeCell ref="M6:N6"/>
    <mergeCell ref="O6:O7"/>
  </mergeCells>
  <pageMargins left="0.7" right="0.7" top="0.75" bottom="0.75" header="0.3" footer="0.3"/>
  <pageSetup scale="32"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B23BE-742B-4FC0-A061-702C59C2F92C}">
  <sheetPr>
    <tabColor theme="8" tint="-0.499984740745262"/>
  </sheetPr>
  <dimension ref="A1:AM79"/>
  <sheetViews>
    <sheetView zoomScale="48" workbookViewId="0">
      <pane xSplit="4" topLeftCell="AG1" activePane="topRight" state="frozen"/>
      <selection activeCell="Z4" sqref="Z4"/>
      <selection pane="topRight" activeCell="U5" sqref="U5"/>
    </sheetView>
  </sheetViews>
  <sheetFormatPr defaultColWidth="9.21875" defaultRowHeight="17.399999999999999"/>
  <cols>
    <col min="1" max="1" width="11.5546875" style="160" bestFit="1" customWidth="1"/>
    <col min="2" max="2" width="111.5546875" style="161" customWidth="1"/>
    <col min="3" max="3" width="15.21875" style="160" bestFit="1" customWidth="1"/>
    <col min="4" max="4" width="16.6640625" style="162" bestFit="1" customWidth="1"/>
    <col min="5" max="6" width="18.5546875" style="162" customWidth="1"/>
    <col min="7" max="7" width="18.21875" style="163" customWidth="1"/>
    <col min="8" max="8" width="19.77734375" style="162" customWidth="1"/>
    <col min="9" max="10" width="27.77734375" style="162" customWidth="1"/>
    <col min="11" max="11" width="22.21875" style="162" customWidth="1"/>
    <col min="12" max="13" width="22.21875" style="164" customWidth="1"/>
    <col min="14" max="14" width="21.21875" style="164" customWidth="1"/>
    <col min="15" max="15" width="20.88671875" style="164" bestFit="1" customWidth="1"/>
    <col min="16" max="16" width="27.109375" style="164" customWidth="1"/>
    <col min="17" max="17" width="27.44140625" style="164" customWidth="1"/>
    <col min="18" max="18" width="21.44140625" style="164" customWidth="1"/>
    <col min="19" max="19" width="19.77734375" style="162" customWidth="1"/>
    <col min="20" max="22" width="18.5546875" style="162" customWidth="1"/>
    <col min="23" max="24" width="20.21875" style="164" customWidth="1"/>
    <col min="25" max="25" width="20.77734375" style="164" bestFit="1" customWidth="1"/>
    <col min="26" max="26" width="20.21875" style="164" customWidth="1"/>
    <col min="27" max="27" width="27" style="164" customWidth="1"/>
    <col min="28" max="28" width="19.44140625" style="164" bestFit="1" customWidth="1"/>
    <col min="29" max="29" width="26.44140625" style="164" customWidth="1"/>
    <col min="30" max="30" width="25.77734375" style="164" customWidth="1"/>
    <col min="31" max="31" width="24.44140625" style="164" customWidth="1"/>
    <col min="32" max="33" width="40.77734375" style="164" bestFit="1" customWidth="1"/>
    <col min="34" max="36" width="29.21875" style="164" customWidth="1"/>
    <col min="37" max="38" width="22.21875" style="162" bestFit="1" customWidth="1"/>
    <col min="39" max="39" width="24.21875" style="162" customWidth="1"/>
    <col min="40" max="256" width="9.21875" style="103"/>
    <col min="257" max="257" width="11.5546875" style="103" bestFit="1" customWidth="1"/>
    <col min="258" max="258" width="111.5546875" style="103" customWidth="1"/>
    <col min="259" max="259" width="15.21875" style="103" bestFit="1" customWidth="1"/>
    <col min="260" max="260" width="16.6640625" style="103" bestFit="1" customWidth="1"/>
    <col min="261" max="262" width="18.5546875" style="103" customWidth="1"/>
    <col min="263" max="263" width="18.21875" style="103" customWidth="1"/>
    <col min="264" max="264" width="19.77734375" style="103" customWidth="1"/>
    <col min="265" max="266" width="27.77734375" style="103" customWidth="1"/>
    <col min="267" max="269" width="22.21875" style="103" customWidth="1"/>
    <col min="270" max="270" width="21.21875" style="103" customWidth="1"/>
    <col min="271" max="271" width="20.88671875" style="103" bestFit="1" customWidth="1"/>
    <col min="272" max="272" width="27.109375" style="103" customWidth="1"/>
    <col min="273" max="273" width="27.44140625" style="103" customWidth="1"/>
    <col min="274" max="274" width="21.44140625" style="103" customWidth="1"/>
    <col min="275" max="275" width="19.77734375" style="103" customWidth="1"/>
    <col min="276" max="278" width="18.5546875" style="103" customWidth="1"/>
    <col min="279" max="280" width="20.21875" style="103" customWidth="1"/>
    <col min="281" max="281" width="20.77734375" style="103" bestFit="1" customWidth="1"/>
    <col min="282" max="282" width="20.21875" style="103" customWidth="1"/>
    <col min="283" max="283" width="27" style="103" customWidth="1"/>
    <col min="284" max="284" width="19.44140625" style="103" bestFit="1" customWidth="1"/>
    <col min="285" max="285" width="26.44140625" style="103" customWidth="1"/>
    <col min="286" max="286" width="25.77734375" style="103" customWidth="1"/>
    <col min="287" max="287" width="24.44140625" style="103" customWidth="1"/>
    <col min="288" max="289" width="40.77734375" style="103" bestFit="1" customWidth="1"/>
    <col min="290" max="292" width="29.21875" style="103" customWidth="1"/>
    <col min="293" max="294" width="22.21875" style="103" bestFit="1" customWidth="1"/>
    <col min="295" max="295" width="24.21875" style="103" customWidth="1"/>
    <col min="296" max="512" width="9.21875" style="103"/>
    <col min="513" max="513" width="11.5546875" style="103" bestFit="1" customWidth="1"/>
    <col min="514" max="514" width="111.5546875" style="103" customWidth="1"/>
    <col min="515" max="515" width="15.21875" style="103" bestFit="1" customWidth="1"/>
    <col min="516" max="516" width="16.6640625" style="103" bestFit="1" customWidth="1"/>
    <col min="517" max="518" width="18.5546875" style="103" customWidth="1"/>
    <col min="519" max="519" width="18.21875" style="103" customWidth="1"/>
    <col min="520" max="520" width="19.77734375" style="103" customWidth="1"/>
    <col min="521" max="522" width="27.77734375" style="103" customWidth="1"/>
    <col min="523" max="525" width="22.21875" style="103" customWidth="1"/>
    <col min="526" max="526" width="21.21875" style="103" customWidth="1"/>
    <col min="527" max="527" width="20.88671875" style="103" bestFit="1" customWidth="1"/>
    <col min="528" max="528" width="27.109375" style="103" customWidth="1"/>
    <col min="529" max="529" width="27.44140625" style="103" customWidth="1"/>
    <col min="530" max="530" width="21.44140625" style="103" customWidth="1"/>
    <col min="531" max="531" width="19.77734375" style="103" customWidth="1"/>
    <col min="532" max="534" width="18.5546875" style="103" customWidth="1"/>
    <col min="535" max="536" width="20.21875" style="103" customWidth="1"/>
    <col min="537" max="537" width="20.77734375" style="103" bestFit="1" customWidth="1"/>
    <col min="538" max="538" width="20.21875" style="103" customWidth="1"/>
    <col min="539" max="539" width="27" style="103" customWidth="1"/>
    <col min="540" max="540" width="19.44140625" style="103" bestFit="1" customWidth="1"/>
    <col min="541" max="541" width="26.44140625" style="103" customWidth="1"/>
    <col min="542" max="542" width="25.77734375" style="103" customWidth="1"/>
    <col min="543" max="543" width="24.44140625" style="103" customWidth="1"/>
    <col min="544" max="545" width="40.77734375" style="103" bestFit="1" customWidth="1"/>
    <col min="546" max="548" width="29.21875" style="103" customWidth="1"/>
    <col min="549" max="550" width="22.21875" style="103" bestFit="1" customWidth="1"/>
    <col min="551" max="551" width="24.21875" style="103" customWidth="1"/>
    <col min="552" max="768" width="9.21875" style="103"/>
    <col min="769" max="769" width="11.5546875" style="103" bestFit="1" customWidth="1"/>
    <col min="770" max="770" width="111.5546875" style="103" customWidth="1"/>
    <col min="771" max="771" width="15.21875" style="103" bestFit="1" customWidth="1"/>
    <col min="772" max="772" width="16.6640625" style="103" bestFit="1" customWidth="1"/>
    <col min="773" max="774" width="18.5546875" style="103" customWidth="1"/>
    <col min="775" max="775" width="18.21875" style="103" customWidth="1"/>
    <col min="776" max="776" width="19.77734375" style="103" customWidth="1"/>
    <col min="777" max="778" width="27.77734375" style="103" customWidth="1"/>
    <col min="779" max="781" width="22.21875" style="103" customWidth="1"/>
    <col min="782" max="782" width="21.21875" style="103" customWidth="1"/>
    <col min="783" max="783" width="20.88671875" style="103" bestFit="1" customWidth="1"/>
    <col min="784" max="784" width="27.109375" style="103" customWidth="1"/>
    <col min="785" max="785" width="27.44140625" style="103" customWidth="1"/>
    <col min="786" max="786" width="21.44140625" style="103" customWidth="1"/>
    <col min="787" max="787" width="19.77734375" style="103" customWidth="1"/>
    <col min="788" max="790" width="18.5546875" style="103" customWidth="1"/>
    <col min="791" max="792" width="20.21875" style="103" customWidth="1"/>
    <col min="793" max="793" width="20.77734375" style="103" bestFit="1" customWidth="1"/>
    <col min="794" max="794" width="20.21875" style="103" customWidth="1"/>
    <col min="795" max="795" width="27" style="103" customWidth="1"/>
    <col min="796" max="796" width="19.44140625" style="103" bestFit="1" customWidth="1"/>
    <col min="797" max="797" width="26.44140625" style="103" customWidth="1"/>
    <col min="798" max="798" width="25.77734375" style="103" customWidth="1"/>
    <col min="799" max="799" width="24.44140625" style="103" customWidth="1"/>
    <col min="800" max="801" width="40.77734375" style="103" bestFit="1" customWidth="1"/>
    <col min="802" max="804" width="29.21875" style="103" customWidth="1"/>
    <col min="805" max="806" width="22.21875" style="103" bestFit="1" customWidth="1"/>
    <col min="807" max="807" width="24.21875" style="103" customWidth="1"/>
    <col min="808" max="1024" width="9.21875" style="103"/>
    <col min="1025" max="1025" width="11.5546875" style="103" bestFit="1" customWidth="1"/>
    <col min="1026" max="1026" width="111.5546875" style="103" customWidth="1"/>
    <col min="1027" max="1027" width="15.21875" style="103" bestFit="1" customWidth="1"/>
    <col min="1028" max="1028" width="16.6640625" style="103" bestFit="1" customWidth="1"/>
    <col min="1029" max="1030" width="18.5546875" style="103" customWidth="1"/>
    <col min="1031" max="1031" width="18.21875" style="103" customWidth="1"/>
    <col min="1032" max="1032" width="19.77734375" style="103" customWidth="1"/>
    <col min="1033" max="1034" width="27.77734375" style="103" customWidth="1"/>
    <col min="1035" max="1037" width="22.21875" style="103" customWidth="1"/>
    <col min="1038" max="1038" width="21.21875" style="103" customWidth="1"/>
    <col min="1039" max="1039" width="20.88671875" style="103" bestFit="1" customWidth="1"/>
    <col min="1040" max="1040" width="27.109375" style="103" customWidth="1"/>
    <col min="1041" max="1041" width="27.44140625" style="103" customWidth="1"/>
    <col min="1042" max="1042" width="21.44140625" style="103" customWidth="1"/>
    <col min="1043" max="1043" width="19.77734375" style="103" customWidth="1"/>
    <col min="1044" max="1046" width="18.5546875" style="103" customWidth="1"/>
    <col min="1047" max="1048" width="20.21875" style="103" customWidth="1"/>
    <col min="1049" max="1049" width="20.77734375" style="103" bestFit="1" customWidth="1"/>
    <col min="1050" max="1050" width="20.21875" style="103" customWidth="1"/>
    <col min="1051" max="1051" width="27" style="103" customWidth="1"/>
    <col min="1052" max="1052" width="19.44140625" style="103" bestFit="1" customWidth="1"/>
    <col min="1053" max="1053" width="26.44140625" style="103" customWidth="1"/>
    <col min="1054" max="1054" width="25.77734375" style="103" customWidth="1"/>
    <col min="1055" max="1055" width="24.44140625" style="103" customWidth="1"/>
    <col min="1056" max="1057" width="40.77734375" style="103" bestFit="1" customWidth="1"/>
    <col min="1058" max="1060" width="29.21875" style="103" customWidth="1"/>
    <col min="1061" max="1062" width="22.21875" style="103" bestFit="1" customWidth="1"/>
    <col min="1063" max="1063" width="24.21875" style="103" customWidth="1"/>
    <col min="1064" max="1280" width="9.21875" style="103"/>
    <col min="1281" max="1281" width="11.5546875" style="103" bestFit="1" customWidth="1"/>
    <col min="1282" max="1282" width="111.5546875" style="103" customWidth="1"/>
    <col min="1283" max="1283" width="15.21875" style="103" bestFit="1" customWidth="1"/>
    <col min="1284" max="1284" width="16.6640625" style="103" bestFit="1" customWidth="1"/>
    <col min="1285" max="1286" width="18.5546875" style="103" customWidth="1"/>
    <col min="1287" max="1287" width="18.21875" style="103" customWidth="1"/>
    <col min="1288" max="1288" width="19.77734375" style="103" customWidth="1"/>
    <col min="1289" max="1290" width="27.77734375" style="103" customWidth="1"/>
    <col min="1291" max="1293" width="22.21875" style="103" customWidth="1"/>
    <col min="1294" max="1294" width="21.21875" style="103" customWidth="1"/>
    <col min="1295" max="1295" width="20.88671875" style="103" bestFit="1" customWidth="1"/>
    <col min="1296" max="1296" width="27.109375" style="103" customWidth="1"/>
    <col min="1297" max="1297" width="27.44140625" style="103" customWidth="1"/>
    <col min="1298" max="1298" width="21.44140625" style="103" customWidth="1"/>
    <col min="1299" max="1299" width="19.77734375" style="103" customWidth="1"/>
    <col min="1300" max="1302" width="18.5546875" style="103" customWidth="1"/>
    <col min="1303" max="1304" width="20.21875" style="103" customWidth="1"/>
    <col min="1305" max="1305" width="20.77734375" style="103" bestFit="1" customWidth="1"/>
    <col min="1306" max="1306" width="20.21875" style="103" customWidth="1"/>
    <col min="1307" max="1307" width="27" style="103" customWidth="1"/>
    <col min="1308" max="1308" width="19.44140625" style="103" bestFit="1" customWidth="1"/>
    <col min="1309" max="1309" width="26.44140625" style="103" customWidth="1"/>
    <col min="1310" max="1310" width="25.77734375" style="103" customWidth="1"/>
    <col min="1311" max="1311" width="24.44140625" style="103" customWidth="1"/>
    <col min="1312" max="1313" width="40.77734375" style="103" bestFit="1" customWidth="1"/>
    <col min="1314" max="1316" width="29.21875" style="103" customWidth="1"/>
    <col min="1317" max="1318" width="22.21875" style="103" bestFit="1" customWidth="1"/>
    <col min="1319" max="1319" width="24.21875" style="103" customWidth="1"/>
    <col min="1320" max="1536" width="9.21875" style="103"/>
    <col min="1537" max="1537" width="11.5546875" style="103" bestFit="1" customWidth="1"/>
    <col min="1538" max="1538" width="111.5546875" style="103" customWidth="1"/>
    <col min="1539" max="1539" width="15.21875" style="103" bestFit="1" customWidth="1"/>
    <col min="1540" max="1540" width="16.6640625" style="103" bestFit="1" customWidth="1"/>
    <col min="1541" max="1542" width="18.5546875" style="103" customWidth="1"/>
    <col min="1543" max="1543" width="18.21875" style="103" customWidth="1"/>
    <col min="1544" max="1544" width="19.77734375" style="103" customWidth="1"/>
    <col min="1545" max="1546" width="27.77734375" style="103" customWidth="1"/>
    <col min="1547" max="1549" width="22.21875" style="103" customWidth="1"/>
    <col min="1550" max="1550" width="21.21875" style="103" customWidth="1"/>
    <col min="1551" max="1551" width="20.88671875" style="103" bestFit="1" customWidth="1"/>
    <col min="1552" max="1552" width="27.109375" style="103" customWidth="1"/>
    <col min="1553" max="1553" width="27.44140625" style="103" customWidth="1"/>
    <col min="1554" max="1554" width="21.44140625" style="103" customWidth="1"/>
    <col min="1555" max="1555" width="19.77734375" style="103" customWidth="1"/>
    <col min="1556" max="1558" width="18.5546875" style="103" customWidth="1"/>
    <col min="1559" max="1560" width="20.21875" style="103" customWidth="1"/>
    <col min="1561" max="1561" width="20.77734375" style="103" bestFit="1" customWidth="1"/>
    <col min="1562" max="1562" width="20.21875" style="103" customWidth="1"/>
    <col min="1563" max="1563" width="27" style="103" customWidth="1"/>
    <col min="1564" max="1564" width="19.44140625" style="103" bestFit="1" customWidth="1"/>
    <col min="1565" max="1565" width="26.44140625" style="103" customWidth="1"/>
    <col min="1566" max="1566" width="25.77734375" style="103" customWidth="1"/>
    <col min="1567" max="1567" width="24.44140625" style="103" customWidth="1"/>
    <col min="1568" max="1569" width="40.77734375" style="103" bestFit="1" customWidth="1"/>
    <col min="1570" max="1572" width="29.21875" style="103" customWidth="1"/>
    <col min="1573" max="1574" width="22.21875" style="103" bestFit="1" customWidth="1"/>
    <col min="1575" max="1575" width="24.21875" style="103" customWidth="1"/>
    <col min="1576" max="1792" width="9.21875" style="103"/>
    <col min="1793" max="1793" width="11.5546875" style="103" bestFit="1" customWidth="1"/>
    <col min="1794" max="1794" width="111.5546875" style="103" customWidth="1"/>
    <col min="1795" max="1795" width="15.21875" style="103" bestFit="1" customWidth="1"/>
    <col min="1796" max="1796" width="16.6640625" style="103" bestFit="1" customWidth="1"/>
    <col min="1797" max="1798" width="18.5546875" style="103" customWidth="1"/>
    <col min="1799" max="1799" width="18.21875" style="103" customWidth="1"/>
    <col min="1800" max="1800" width="19.77734375" style="103" customWidth="1"/>
    <col min="1801" max="1802" width="27.77734375" style="103" customWidth="1"/>
    <col min="1803" max="1805" width="22.21875" style="103" customWidth="1"/>
    <col min="1806" max="1806" width="21.21875" style="103" customWidth="1"/>
    <col min="1807" max="1807" width="20.88671875" style="103" bestFit="1" customWidth="1"/>
    <col min="1808" max="1808" width="27.109375" style="103" customWidth="1"/>
    <col min="1809" max="1809" width="27.44140625" style="103" customWidth="1"/>
    <col min="1810" max="1810" width="21.44140625" style="103" customWidth="1"/>
    <col min="1811" max="1811" width="19.77734375" style="103" customWidth="1"/>
    <col min="1812" max="1814" width="18.5546875" style="103" customWidth="1"/>
    <col min="1815" max="1816" width="20.21875" style="103" customWidth="1"/>
    <col min="1817" max="1817" width="20.77734375" style="103" bestFit="1" customWidth="1"/>
    <col min="1818" max="1818" width="20.21875" style="103" customWidth="1"/>
    <col min="1819" max="1819" width="27" style="103" customWidth="1"/>
    <col min="1820" max="1820" width="19.44140625" style="103" bestFit="1" customWidth="1"/>
    <col min="1821" max="1821" width="26.44140625" style="103" customWidth="1"/>
    <col min="1822" max="1822" width="25.77734375" style="103" customWidth="1"/>
    <col min="1823" max="1823" width="24.44140625" style="103" customWidth="1"/>
    <col min="1824" max="1825" width="40.77734375" style="103" bestFit="1" customWidth="1"/>
    <col min="1826" max="1828" width="29.21875" style="103" customWidth="1"/>
    <col min="1829" max="1830" width="22.21875" style="103" bestFit="1" customWidth="1"/>
    <col min="1831" max="1831" width="24.21875" style="103" customWidth="1"/>
    <col min="1832" max="2048" width="9.21875" style="103"/>
    <col min="2049" max="2049" width="11.5546875" style="103" bestFit="1" customWidth="1"/>
    <col min="2050" max="2050" width="111.5546875" style="103" customWidth="1"/>
    <col min="2051" max="2051" width="15.21875" style="103" bestFit="1" customWidth="1"/>
    <col min="2052" max="2052" width="16.6640625" style="103" bestFit="1" customWidth="1"/>
    <col min="2053" max="2054" width="18.5546875" style="103" customWidth="1"/>
    <col min="2055" max="2055" width="18.21875" style="103" customWidth="1"/>
    <col min="2056" max="2056" width="19.77734375" style="103" customWidth="1"/>
    <col min="2057" max="2058" width="27.77734375" style="103" customWidth="1"/>
    <col min="2059" max="2061" width="22.21875" style="103" customWidth="1"/>
    <col min="2062" max="2062" width="21.21875" style="103" customWidth="1"/>
    <col min="2063" max="2063" width="20.88671875" style="103" bestFit="1" customWidth="1"/>
    <col min="2064" max="2064" width="27.109375" style="103" customWidth="1"/>
    <col min="2065" max="2065" width="27.44140625" style="103" customWidth="1"/>
    <col min="2066" max="2066" width="21.44140625" style="103" customWidth="1"/>
    <col min="2067" max="2067" width="19.77734375" style="103" customWidth="1"/>
    <col min="2068" max="2070" width="18.5546875" style="103" customWidth="1"/>
    <col min="2071" max="2072" width="20.21875" style="103" customWidth="1"/>
    <col min="2073" max="2073" width="20.77734375" style="103" bestFit="1" customWidth="1"/>
    <col min="2074" max="2074" width="20.21875" style="103" customWidth="1"/>
    <col min="2075" max="2075" width="27" style="103" customWidth="1"/>
    <col min="2076" max="2076" width="19.44140625" style="103" bestFit="1" customWidth="1"/>
    <col min="2077" max="2077" width="26.44140625" style="103" customWidth="1"/>
    <col min="2078" max="2078" width="25.77734375" style="103" customWidth="1"/>
    <col min="2079" max="2079" width="24.44140625" style="103" customWidth="1"/>
    <col min="2080" max="2081" width="40.77734375" style="103" bestFit="1" customWidth="1"/>
    <col min="2082" max="2084" width="29.21875" style="103" customWidth="1"/>
    <col min="2085" max="2086" width="22.21875" style="103" bestFit="1" customWidth="1"/>
    <col min="2087" max="2087" width="24.21875" style="103" customWidth="1"/>
    <col min="2088" max="2304" width="9.21875" style="103"/>
    <col min="2305" max="2305" width="11.5546875" style="103" bestFit="1" customWidth="1"/>
    <col min="2306" max="2306" width="111.5546875" style="103" customWidth="1"/>
    <col min="2307" max="2307" width="15.21875" style="103" bestFit="1" customWidth="1"/>
    <col min="2308" max="2308" width="16.6640625" style="103" bestFit="1" customWidth="1"/>
    <col min="2309" max="2310" width="18.5546875" style="103" customWidth="1"/>
    <col min="2311" max="2311" width="18.21875" style="103" customWidth="1"/>
    <col min="2312" max="2312" width="19.77734375" style="103" customWidth="1"/>
    <col min="2313" max="2314" width="27.77734375" style="103" customWidth="1"/>
    <col min="2315" max="2317" width="22.21875" style="103" customWidth="1"/>
    <col min="2318" max="2318" width="21.21875" style="103" customWidth="1"/>
    <col min="2319" max="2319" width="20.88671875" style="103" bestFit="1" customWidth="1"/>
    <col min="2320" max="2320" width="27.109375" style="103" customWidth="1"/>
    <col min="2321" max="2321" width="27.44140625" style="103" customWidth="1"/>
    <col min="2322" max="2322" width="21.44140625" style="103" customWidth="1"/>
    <col min="2323" max="2323" width="19.77734375" style="103" customWidth="1"/>
    <col min="2324" max="2326" width="18.5546875" style="103" customWidth="1"/>
    <col min="2327" max="2328" width="20.21875" style="103" customWidth="1"/>
    <col min="2329" max="2329" width="20.77734375" style="103" bestFit="1" customWidth="1"/>
    <col min="2330" max="2330" width="20.21875" style="103" customWidth="1"/>
    <col min="2331" max="2331" width="27" style="103" customWidth="1"/>
    <col min="2332" max="2332" width="19.44140625" style="103" bestFit="1" customWidth="1"/>
    <col min="2333" max="2333" width="26.44140625" style="103" customWidth="1"/>
    <col min="2334" max="2334" width="25.77734375" style="103" customWidth="1"/>
    <col min="2335" max="2335" width="24.44140625" style="103" customWidth="1"/>
    <col min="2336" max="2337" width="40.77734375" style="103" bestFit="1" customWidth="1"/>
    <col min="2338" max="2340" width="29.21875" style="103" customWidth="1"/>
    <col min="2341" max="2342" width="22.21875" style="103" bestFit="1" customWidth="1"/>
    <col min="2343" max="2343" width="24.21875" style="103" customWidth="1"/>
    <col min="2344" max="2560" width="9.21875" style="103"/>
    <col min="2561" max="2561" width="11.5546875" style="103" bestFit="1" customWidth="1"/>
    <col min="2562" max="2562" width="111.5546875" style="103" customWidth="1"/>
    <col min="2563" max="2563" width="15.21875" style="103" bestFit="1" customWidth="1"/>
    <col min="2564" max="2564" width="16.6640625" style="103" bestFit="1" customWidth="1"/>
    <col min="2565" max="2566" width="18.5546875" style="103" customWidth="1"/>
    <col min="2567" max="2567" width="18.21875" style="103" customWidth="1"/>
    <col min="2568" max="2568" width="19.77734375" style="103" customWidth="1"/>
    <col min="2569" max="2570" width="27.77734375" style="103" customWidth="1"/>
    <col min="2571" max="2573" width="22.21875" style="103" customWidth="1"/>
    <col min="2574" max="2574" width="21.21875" style="103" customWidth="1"/>
    <col min="2575" max="2575" width="20.88671875" style="103" bestFit="1" customWidth="1"/>
    <col min="2576" max="2576" width="27.109375" style="103" customWidth="1"/>
    <col min="2577" max="2577" width="27.44140625" style="103" customWidth="1"/>
    <col min="2578" max="2578" width="21.44140625" style="103" customWidth="1"/>
    <col min="2579" max="2579" width="19.77734375" style="103" customWidth="1"/>
    <col min="2580" max="2582" width="18.5546875" style="103" customWidth="1"/>
    <col min="2583" max="2584" width="20.21875" style="103" customWidth="1"/>
    <col min="2585" max="2585" width="20.77734375" style="103" bestFit="1" customWidth="1"/>
    <col min="2586" max="2586" width="20.21875" style="103" customWidth="1"/>
    <col min="2587" max="2587" width="27" style="103" customWidth="1"/>
    <col min="2588" max="2588" width="19.44140625" style="103" bestFit="1" customWidth="1"/>
    <col min="2589" max="2589" width="26.44140625" style="103" customWidth="1"/>
    <col min="2590" max="2590" width="25.77734375" style="103" customWidth="1"/>
    <col min="2591" max="2591" width="24.44140625" style="103" customWidth="1"/>
    <col min="2592" max="2593" width="40.77734375" style="103" bestFit="1" customWidth="1"/>
    <col min="2594" max="2596" width="29.21875" style="103" customWidth="1"/>
    <col min="2597" max="2598" width="22.21875" style="103" bestFit="1" customWidth="1"/>
    <col min="2599" max="2599" width="24.21875" style="103" customWidth="1"/>
    <col min="2600" max="2816" width="9.21875" style="103"/>
    <col min="2817" max="2817" width="11.5546875" style="103" bestFit="1" customWidth="1"/>
    <col min="2818" max="2818" width="111.5546875" style="103" customWidth="1"/>
    <col min="2819" max="2819" width="15.21875" style="103" bestFit="1" customWidth="1"/>
    <col min="2820" max="2820" width="16.6640625" style="103" bestFit="1" customWidth="1"/>
    <col min="2821" max="2822" width="18.5546875" style="103" customWidth="1"/>
    <col min="2823" max="2823" width="18.21875" style="103" customWidth="1"/>
    <col min="2824" max="2824" width="19.77734375" style="103" customWidth="1"/>
    <col min="2825" max="2826" width="27.77734375" style="103" customWidth="1"/>
    <col min="2827" max="2829" width="22.21875" style="103" customWidth="1"/>
    <col min="2830" max="2830" width="21.21875" style="103" customWidth="1"/>
    <col min="2831" max="2831" width="20.88671875" style="103" bestFit="1" customWidth="1"/>
    <col min="2832" max="2832" width="27.109375" style="103" customWidth="1"/>
    <col min="2833" max="2833" width="27.44140625" style="103" customWidth="1"/>
    <col min="2834" max="2834" width="21.44140625" style="103" customWidth="1"/>
    <col min="2835" max="2835" width="19.77734375" style="103" customWidth="1"/>
    <col min="2836" max="2838" width="18.5546875" style="103" customWidth="1"/>
    <col min="2839" max="2840" width="20.21875" style="103" customWidth="1"/>
    <col min="2841" max="2841" width="20.77734375" style="103" bestFit="1" customWidth="1"/>
    <col min="2842" max="2842" width="20.21875" style="103" customWidth="1"/>
    <col min="2843" max="2843" width="27" style="103" customWidth="1"/>
    <col min="2844" max="2844" width="19.44140625" style="103" bestFit="1" customWidth="1"/>
    <col min="2845" max="2845" width="26.44140625" style="103" customWidth="1"/>
    <col min="2846" max="2846" width="25.77734375" style="103" customWidth="1"/>
    <col min="2847" max="2847" width="24.44140625" style="103" customWidth="1"/>
    <col min="2848" max="2849" width="40.77734375" style="103" bestFit="1" customWidth="1"/>
    <col min="2850" max="2852" width="29.21875" style="103" customWidth="1"/>
    <col min="2853" max="2854" width="22.21875" style="103" bestFit="1" customWidth="1"/>
    <col min="2855" max="2855" width="24.21875" style="103" customWidth="1"/>
    <col min="2856" max="3072" width="9.21875" style="103"/>
    <col min="3073" max="3073" width="11.5546875" style="103" bestFit="1" customWidth="1"/>
    <col min="3074" max="3074" width="111.5546875" style="103" customWidth="1"/>
    <col min="3075" max="3075" width="15.21875" style="103" bestFit="1" customWidth="1"/>
    <col min="3076" max="3076" width="16.6640625" style="103" bestFit="1" customWidth="1"/>
    <col min="3077" max="3078" width="18.5546875" style="103" customWidth="1"/>
    <col min="3079" max="3079" width="18.21875" style="103" customWidth="1"/>
    <col min="3080" max="3080" width="19.77734375" style="103" customWidth="1"/>
    <col min="3081" max="3082" width="27.77734375" style="103" customWidth="1"/>
    <col min="3083" max="3085" width="22.21875" style="103" customWidth="1"/>
    <col min="3086" max="3086" width="21.21875" style="103" customWidth="1"/>
    <col min="3087" max="3087" width="20.88671875" style="103" bestFit="1" customWidth="1"/>
    <col min="3088" max="3088" width="27.109375" style="103" customWidth="1"/>
    <col min="3089" max="3089" width="27.44140625" style="103" customWidth="1"/>
    <col min="3090" max="3090" width="21.44140625" style="103" customWidth="1"/>
    <col min="3091" max="3091" width="19.77734375" style="103" customWidth="1"/>
    <col min="3092" max="3094" width="18.5546875" style="103" customWidth="1"/>
    <col min="3095" max="3096" width="20.21875" style="103" customWidth="1"/>
    <col min="3097" max="3097" width="20.77734375" style="103" bestFit="1" customWidth="1"/>
    <col min="3098" max="3098" width="20.21875" style="103" customWidth="1"/>
    <col min="3099" max="3099" width="27" style="103" customWidth="1"/>
    <col min="3100" max="3100" width="19.44140625" style="103" bestFit="1" customWidth="1"/>
    <col min="3101" max="3101" width="26.44140625" style="103" customWidth="1"/>
    <col min="3102" max="3102" width="25.77734375" style="103" customWidth="1"/>
    <col min="3103" max="3103" width="24.44140625" style="103" customWidth="1"/>
    <col min="3104" max="3105" width="40.77734375" style="103" bestFit="1" customWidth="1"/>
    <col min="3106" max="3108" width="29.21875" style="103" customWidth="1"/>
    <col min="3109" max="3110" width="22.21875" style="103" bestFit="1" customWidth="1"/>
    <col min="3111" max="3111" width="24.21875" style="103" customWidth="1"/>
    <col min="3112" max="3328" width="9.21875" style="103"/>
    <col min="3329" max="3329" width="11.5546875" style="103" bestFit="1" customWidth="1"/>
    <col min="3330" max="3330" width="111.5546875" style="103" customWidth="1"/>
    <col min="3331" max="3331" width="15.21875" style="103" bestFit="1" customWidth="1"/>
    <col min="3332" max="3332" width="16.6640625" style="103" bestFit="1" customWidth="1"/>
    <col min="3333" max="3334" width="18.5546875" style="103" customWidth="1"/>
    <col min="3335" max="3335" width="18.21875" style="103" customWidth="1"/>
    <col min="3336" max="3336" width="19.77734375" style="103" customWidth="1"/>
    <col min="3337" max="3338" width="27.77734375" style="103" customWidth="1"/>
    <col min="3339" max="3341" width="22.21875" style="103" customWidth="1"/>
    <col min="3342" max="3342" width="21.21875" style="103" customWidth="1"/>
    <col min="3343" max="3343" width="20.88671875" style="103" bestFit="1" customWidth="1"/>
    <col min="3344" max="3344" width="27.109375" style="103" customWidth="1"/>
    <col min="3345" max="3345" width="27.44140625" style="103" customWidth="1"/>
    <col min="3346" max="3346" width="21.44140625" style="103" customWidth="1"/>
    <col min="3347" max="3347" width="19.77734375" style="103" customWidth="1"/>
    <col min="3348" max="3350" width="18.5546875" style="103" customWidth="1"/>
    <col min="3351" max="3352" width="20.21875" style="103" customWidth="1"/>
    <col min="3353" max="3353" width="20.77734375" style="103" bestFit="1" customWidth="1"/>
    <col min="3354" max="3354" width="20.21875" style="103" customWidth="1"/>
    <col min="3355" max="3355" width="27" style="103" customWidth="1"/>
    <col min="3356" max="3356" width="19.44140625" style="103" bestFit="1" customWidth="1"/>
    <col min="3357" max="3357" width="26.44140625" style="103" customWidth="1"/>
    <col min="3358" max="3358" width="25.77734375" style="103" customWidth="1"/>
    <col min="3359" max="3359" width="24.44140625" style="103" customWidth="1"/>
    <col min="3360" max="3361" width="40.77734375" style="103" bestFit="1" customWidth="1"/>
    <col min="3362" max="3364" width="29.21875" style="103" customWidth="1"/>
    <col min="3365" max="3366" width="22.21875" style="103" bestFit="1" customWidth="1"/>
    <col min="3367" max="3367" width="24.21875" style="103" customWidth="1"/>
    <col min="3368" max="3584" width="9.21875" style="103"/>
    <col min="3585" max="3585" width="11.5546875" style="103" bestFit="1" customWidth="1"/>
    <col min="3586" max="3586" width="111.5546875" style="103" customWidth="1"/>
    <col min="3587" max="3587" width="15.21875" style="103" bestFit="1" customWidth="1"/>
    <col min="3588" max="3588" width="16.6640625" style="103" bestFit="1" customWidth="1"/>
    <col min="3589" max="3590" width="18.5546875" style="103" customWidth="1"/>
    <col min="3591" max="3591" width="18.21875" style="103" customWidth="1"/>
    <col min="3592" max="3592" width="19.77734375" style="103" customWidth="1"/>
    <col min="3593" max="3594" width="27.77734375" style="103" customWidth="1"/>
    <col min="3595" max="3597" width="22.21875" style="103" customWidth="1"/>
    <col min="3598" max="3598" width="21.21875" style="103" customWidth="1"/>
    <col min="3599" max="3599" width="20.88671875" style="103" bestFit="1" customWidth="1"/>
    <col min="3600" max="3600" width="27.109375" style="103" customWidth="1"/>
    <col min="3601" max="3601" width="27.44140625" style="103" customWidth="1"/>
    <col min="3602" max="3602" width="21.44140625" style="103" customWidth="1"/>
    <col min="3603" max="3603" width="19.77734375" style="103" customWidth="1"/>
    <col min="3604" max="3606" width="18.5546875" style="103" customWidth="1"/>
    <col min="3607" max="3608" width="20.21875" style="103" customWidth="1"/>
    <col min="3609" max="3609" width="20.77734375" style="103" bestFit="1" customWidth="1"/>
    <col min="3610" max="3610" width="20.21875" style="103" customWidth="1"/>
    <col min="3611" max="3611" width="27" style="103" customWidth="1"/>
    <col min="3612" max="3612" width="19.44140625" style="103" bestFit="1" customWidth="1"/>
    <col min="3613" max="3613" width="26.44140625" style="103" customWidth="1"/>
    <col min="3614" max="3614" width="25.77734375" style="103" customWidth="1"/>
    <col min="3615" max="3615" width="24.44140625" style="103" customWidth="1"/>
    <col min="3616" max="3617" width="40.77734375" style="103" bestFit="1" customWidth="1"/>
    <col min="3618" max="3620" width="29.21875" style="103" customWidth="1"/>
    <col min="3621" max="3622" width="22.21875" style="103" bestFit="1" customWidth="1"/>
    <col min="3623" max="3623" width="24.21875" style="103" customWidth="1"/>
    <col min="3624" max="3840" width="9.21875" style="103"/>
    <col min="3841" max="3841" width="11.5546875" style="103" bestFit="1" customWidth="1"/>
    <col min="3842" max="3842" width="111.5546875" style="103" customWidth="1"/>
    <col min="3843" max="3843" width="15.21875" style="103" bestFit="1" customWidth="1"/>
    <col min="3844" max="3844" width="16.6640625" style="103" bestFit="1" customWidth="1"/>
    <col min="3845" max="3846" width="18.5546875" style="103" customWidth="1"/>
    <col min="3847" max="3847" width="18.21875" style="103" customWidth="1"/>
    <col min="3848" max="3848" width="19.77734375" style="103" customWidth="1"/>
    <col min="3849" max="3850" width="27.77734375" style="103" customWidth="1"/>
    <col min="3851" max="3853" width="22.21875" style="103" customWidth="1"/>
    <col min="3854" max="3854" width="21.21875" style="103" customWidth="1"/>
    <col min="3855" max="3855" width="20.88671875" style="103" bestFit="1" customWidth="1"/>
    <col min="3856" max="3856" width="27.109375" style="103" customWidth="1"/>
    <col min="3857" max="3857" width="27.44140625" style="103" customWidth="1"/>
    <col min="3858" max="3858" width="21.44140625" style="103" customWidth="1"/>
    <col min="3859" max="3859" width="19.77734375" style="103" customWidth="1"/>
    <col min="3860" max="3862" width="18.5546875" style="103" customWidth="1"/>
    <col min="3863" max="3864" width="20.21875" style="103" customWidth="1"/>
    <col min="3865" max="3865" width="20.77734375" style="103" bestFit="1" customWidth="1"/>
    <col min="3866" max="3866" width="20.21875" style="103" customWidth="1"/>
    <col min="3867" max="3867" width="27" style="103" customWidth="1"/>
    <col min="3868" max="3868" width="19.44140625" style="103" bestFit="1" customWidth="1"/>
    <col min="3869" max="3869" width="26.44140625" style="103" customWidth="1"/>
    <col min="3870" max="3870" width="25.77734375" style="103" customWidth="1"/>
    <col min="3871" max="3871" width="24.44140625" style="103" customWidth="1"/>
    <col min="3872" max="3873" width="40.77734375" style="103" bestFit="1" customWidth="1"/>
    <col min="3874" max="3876" width="29.21875" style="103" customWidth="1"/>
    <col min="3877" max="3878" width="22.21875" style="103" bestFit="1" customWidth="1"/>
    <col min="3879" max="3879" width="24.21875" style="103" customWidth="1"/>
    <col min="3880" max="4096" width="9.21875" style="103"/>
    <col min="4097" max="4097" width="11.5546875" style="103" bestFit="1" customWidth="1"/>
    <col min="4098" max="4098" width="111.5546875" style="103" customWidth="1"/>
    <col min="4099" max="4099" width="15.21875" style="103" bestFit="1" customWidth="1"/>
    <col min="4100" max="4100" width="16.6640625" style="103" bestFit="1" customWidth="1"/>
    <col min="4101" max="4102" width="18.5546875" style="103" customWidth="1"/>
    <col min="4103" max="4103" width="18.21875" style="103" customWidth="1"/>
    <col min="4104" max="4104" width="19.77734375" style="103" customWidth="1"/>
    <col min="4105" max="4106" width="27.77734375" style="103" customWidth="1"/>
    <col min="4107" max="4109" width="22.21875" style="103" customWidth="1"/>
    <col min="4110" max="4110" width="21.21875" style="103" customWidth="1"/>
    <col min="4111" max="4111" width="20.88671875" style="103" bestFit="1" customWidth="1"/>
    <col min="4112" max="4112" width="27.109375" style="103" customWidth="1"/>
    <col min="4113" max="4113" width="27.44140625" style="103" customWidth="1"/>
    <col min="4114" max="4114" width="21.44140625" style="103" customWidth="1"/>
    <col min="4115" max="4115" width="19.77734375" style="103" customWidth="1"/>
    <col min="4116" max="4118" width="18.5546875" style="103" customWidth="1"/>
    <col min="4119" max="4120" width="20.21875" style="103" customWidth="1"/>
    <col min="4121" max="4121" width="20.77734375" style="103" bestFit="1" customWidth="1"/>
    <col min="4122" max="4122" width="20.21875" style="103" customWidth="1"/>
    <col min="4123" max="4123" width="27" style="103" customWidth="1"/>
    <col min="4124" max="4124" width="19.44140625" style="103" bestFit="1" customWidth="1"/>
    <col min="4125" max="4125" width="26.44140625" style="103" customWidth="1"/>
    <col min="4126" max="4126" width="25.77734375" style="103" customWidth="1"/>
    <col min="4127" max="4127" width="24.44140625" style="103" customWidth="1"/>
    <col min="4128" max="4129" width="40.77734375" style="103" bestFit="1" customWidth="1"/>
    <col min="4130" max="4132" width="29.21875" style="103" customWidth="1"/>
    <col min="4133" max="4134" width="22.21875" style="103" bestFit="1" customWidth="1"/>
    <col min="4135" max="4135" width="24.21875" style="103" customWidth="1"/>
    <col min="4136" max="4352" width="9.21875" style="103"/>
    <col min="4353" max="4353" width="11.5546875" style="103" bestFit="1" customWidth="1"/>
    <col min="4354" max="4354" width="111.5546875" style="103" customWidth="1"/>
    <col min="4355" max="4355" width="15.21875" style="103" bestFit="1" customWidth="1"/>
    <col min="4356" max="4356" width="16.6640625" style="103" bestFit="1" customWidth="1"/>
    <col min="4357" max="4358" width="18.5546875" style="103" customWidth="1"/>
    <col min="4359" max="4359" width="18.21875" style="103" customWidth="1"/>
    <col min="4360" max="4360" width="19.77734375" style="103" customWidth="1"/>
    <col min="4361" max="4362" width="27.77734375" style="103" customWidth="1"/>
    <col min="4363" max="4365" width="22.21875" style="103" customWidth="1"/>
    <col min="4366" max="4366" width="21.21875" style="103" customWidth="1"/>
    <col min="4367" max="4367" width="20.88671875" style="103" bestFit="1" customWidth="1"/>
    <col min="4368" max="4368" width="27.109375" style="103" customWidth="1"/>
    <col min="4369" max="4369" width="27.44140625" style="103" customWidth="1"/>
    <col min="4370" max="4370" width="21.44140625" style="103" customWidth="1"/>
    <col min="4371" max="4371" width="19.77734375" style="103" customWidth="1"/>
    <col min="4372" max="4374" width="18.5546875" style="103" customWidth="1"/>
    <col min="4375" max="4376" width="20.21875" style="103" customWidth="1"/>
    <col min="4377" max="4377" width="20.77734375" style="103" bestFit="1" customWidth="1"/>
    <col min="4378" max="4378" width="20.21875" style="103" customWidth="1"/>
    <col min="4379" max="4379" width="27" style="103" customWidth="1"/>
    <col min="4380" max="4380" width="19.44140625" style="103" bestFit="1" customWidth="1"/>
    <col min="4381" max="4381" width="26.44140625" style="103" customWidth="1"/>
    <col min="4382" max="4382" width="25.77734375" style="103" customWidth="1"/>
    <col min="4383" max="4383" width="24.44140625" style="103" customWidth="1"/>
    <col min="4384" max="4385" width="40.77734375" style="103" bestFit="1" customWidth="1"/>
    <col min="4386" max="4388" width="29.21875" style="103" customWidth="1"/>
    <col min="4389" max="4390" width="22.21875" style="103" bestFit="1" customWidth="1"/>
    <col min="4391" max="4391" width="24.21875" style="103" customWidth="1"/>
    <col min="4392" max="4608" width="9.21875" style="103"/>
    <col min="4609" max="4609" width="11.5546875" style="103" bestFit="1" customWidth="1"/>
    <col min="4610" max="4610" width="111.5546875" style="103" customWidth="1"/>
    <col min="4611" max="4611" width="15.21875" style="103" bestFit="1" customWidth="1"/>
    <col min="4612" max="4612" width="16.6640625" style="103" bestFit="1" customWidth="1"/>
    <col min="4613" max="4614" width="18.5546875" style="103" customWidth="1"/>
    <col min="4615" max="4615" width="18.21875" style="103" customWidth="1"/>
    <col min="4616" max="4616" width="19.77734375" style="103" customWidth="1"/>
    <col min="4617" max="4618" width="27.77734375" style="103" customWidth="1"/>
    <col min="4619" max="4621" width="22.21875" style="103" customWidth="1"/>
    <col min="4622" max="4622" width="21.21875" style="103" customWidth="1"/>
    <col min="4623" max="4623" width="20.88671875" style="103" bestFit="1" customWidth="1"/>
    <col min="4624" max="4624" width="27.109375" style="103" customWidth="1"/>
    <col min="4625" max="4625" width="27.44140625" style="103" customWidth="1"/>
    <col min="4626" max="4626" width="21.44140625" style="103" customWidth="1"/>
    <col min="4627" max="4627" width="19.77734375" style="103" customWidth="1"/>
    <col min="4628" max="4630" width="18.5546875" style="103" customWidth="1"/>
    <col min="4631" max="4632" width="20.21875" style="103" customWidth="1"/>
    <col min="4633" max="4633" width="20.77734375" style="103" bestFit="1" customWidth="1"/>
    <col min="4634" max="4634" width="20.21875" style="103" customWidth="1"/>
    <col min="4635" max="4635" width="27" style="103" customWidth="1"/>
    <col min="4636" max="4636" width="19.44140625" style="103" bestFit="1" customWidth="1"/>
    <col min="4637" max="4637" width="26.44140625" style="103" customWidth="1"/>
    <col min="4638" max="4638" width="25.77734375" style="103" customWidth="1"/>
    <col min="4639" max="4639" width="24.44140625" style="103" customWidth="1"/>
    <col min="4640" max="4641" width="40.77734375" style="103" bestFit="1" customWidth="1"/>
    <col min="4642" max="4644" width="29.21875" style="103" customWidth="1"/>
    <col min="4645" max="4646" width="22.21875" style="103" bestFit="1" customWidth="1"/>
    <col min="4647" max="4647" width="24.21875" style="103" customWidth="1"/>
    <col min="4648" max="4864" width="9.21875" style="103"/>
    <col min="4865" max="4865" width="11.5546875" style="103" bestFit="1" customWidth="1"/>
    <col min="4866" max="4866" width="111.5546875" style="103" customWidth="1"/>
    <col min="4867" max="4867" width="15.21875" style="103" bestFit="1" customWidth="1"/>
    <col min="4868" max="4868" width="16.6640625" style="103" bestFit="1" customWidth="1"/>
    <col min="4869" max="4870" width="18.5546875" style="103" customWidth="1"/>
    <col min="4871" max="4871" width="18.21875" style="103" customWidth="1"/>
    <col min="4872" max="4872" width="19.77734375" style="103" customWidth="1"/>
    <col min="4873" max="4874" width="27.77734375" style="103" customWidth="1"/>
    <col min="4875" max="4877" width="22.21875" style="103" customWidth="1"/>
    <col min="4878" max="4878" width="21.21875" style="103" customWidth="1"/>
    <col min="4879" max="4879" width="20.88671875" style="103" bestFit="1" customWidth="1"/>
    <col min="4880" max="4880" width="27.109375" style="103" customWidth="1"/>
    <col min="4881" max="4881" width="27.44140625" style="103" customWidth="1"/>
    <col min="4882" max="4882" width="21.44140625" style="103" customWidth="1"/>
    <col min="4883" max="4883" width="19.77734375" style="103" customWidth="1"/>
    <col min="4884" max="4886" width="18.5546875" style="103" customWidth="1"/>
    <col min="4887" max="4888" width="20.21875" style="103" customWidth="1"/>
    <col min="4889" max="4889" width="20.77734375" style="103" bestFit="1" customWidth="1"/>
    <col min="4890" max="4890" width="20.21875" style="103" customWidth="1"/>
    <col min="4891" max="4891" width="27" style="103" customWidth="1"/>
    <col min="4892" max="4892" width="19.44140625" style="103" bestFit="1" customWidth="1"/>
    <col min="4893" max="4893" width="26.44140625" style="103" customWidth="1"/>
    <col min="4894" max="4894" width="25.77734375" style="103" customWidth="1"/>
    <col min="4895" max="4895" width="24.44140625" style="103" customWidth="1"/>
    <col min="4896" max="4897" width="40.77734375" style="103" bestFit="1" customWidth="1"/>
    <col min="4898" max="4900" width="29.21875" style="103" customWidth="1"/>
    <col min="4901" max="4902" width="22.21875" style="103" bestFit="1" customWidth="1"/>
    <col min="4903" max="4903" width="24.21875" style="103" customWidth="1"/>
    <col min="4904" max="5120" width="9.21875" style="103"/>
    <col min="5121" max="5121" width="11.5546875" style="103" bestFit="1" customWidth="1"/>
    <col min="5122" max="5122" width="111.5546875" style="103" customWidth="1"/>
    <col min="5123" max="5123" width="15.21875" style="103" bestFit="1" customWidth="1"/>
    <col min="5124" max="5124" width="16.6640625" style="103" bestFit="1" customWidth="1"/>
    <col min="5125" max="5126" width="18.5546875" style="103" customWidth="1"/>
    <col min="5127" max="5127" width="18.21875" style="103" customWidth="1"/>
    <col min="5128" max="5128" width="19.77734375" style="103" customWidth="1"/>
    <col min="5129" max="5130" width="27.77734375" style="103" customWidth="1"/>
    <col min="5131" max="5133" width="22.21875" style="103" customWidth="1"/>
    <col min="5134" max="5134" width="21.21875" style="103" customWidth="1"/>
    <col min="5135" max="5135" width="20.88671875" style="103" bestFit="1" customWidth="1"/>
    <col min="5136" max="5136" width="27.109375" style="103" customWidth="1"/>
    <col min="5137" max="5137" width="27.44140625" style="103" customWidth="1"/>
    <col min="5138" max="5138" width="21.44140625" style="103" customWidth="1"/>
    <col min="5139" max="5139" width="19.77734375" style="103" customWidth="1"/>
    <col min="5140" max="5142" width="18.5546875" style="103" customWidth="1"/>
    <col min="5143" max="5144" width="20.21875" style="103" customWidth="1"/>
    <col min="5145" max="5145" width="20.77734375" style="103" bestFit="1" customWidth="1"/>
    <col min="5146" max="5146" width="20.21875" style="103" customWidth="1"/>
    <col min="5147" max="5147" width="27" style="103" customWidth="1"/>
    <col min="5148" max="5148" width="19.44140625" style="103" bestFit="1" customWidth="1"/>
    <col min="5149" max="5149" width="26.44140625" style="103" customWidth="1"/>
    <col min="5150" max="5150" width="25.77734375" style="103" customWidth="1"/>
    <col min="5151" max="5151" width="24.44140625" style="103" customWidth="1"/>
    <col min="5152" max="5153" width="40.77734375" style="103" bestFit="1" customWidth="1"/>
    <col min="5154" max="5156" width="29.21875" style="103" customWidth="1"/>
    <col min="5157" max="5158" width="22.21875" style="103" bestFit="1" customWidth="1"/>
    <col min="5159" max="5159" width="24.21875" style="103" customWidth="1"/>
    <col min="5160" max="5376" width="9.21875" style="103"/>
    <col min="5377" max="5377" width="11.5546875" style="103" bestFit="1" customWidth="1"/>
    <col min="5378" max="5378" width="111.5546875" style="103" customWidth="1"/>
    <col min="5379" max="5379" width="15.21875" style="103" bestFit="1" customWidth="1"/>
    <col min="5380" max="5380" width="16.6640625" style="103" bestFit="1" customWidth="1"/>
    <col min="5381" max="5382" width="18.5546875" style="103" customWidth="1"/>
    <col min="5383" max="5383" width="18.21875" style="103" customWidth="1"/>
    <col min="5384" max="5384" width="19.77734375" style="103" customWidth="1"/>
    <col min="5385" max="5386" width="27.77734375" style="103" customWidth="1"/>
    <col min="5387" max="5389" width="22.21875" style="103" customWidth="1"/>
    <col min="5390" max="5390" width="21.21875" style="103" customWidth="1"/>
    <col min="5391" max="5391" width="20.88671875" style="103" bestFit="1" customWidth="1"/>
    <col min="5392" max="5392" width="27.109375" style="103" customWidth="1"/>
    <col min="5393" max="5393" width="27.44140625" style="103" customWidth="1"/>
    <col min="5394" max="5394" width="21.44140625" style="103" customWidth="1"/>
    <col min="5395" max="5395" width="19.77734375" style="103" customWidth="1"/>
    <col min="5396" max="5398" width="18.5546875" style="103" customWidth="1"/>
    <col min="5399" max="5400" width="20.21875" style="103" customWidth="1"/>
    <col min="5401" max="5401" width="20.77734375" style="103" bestFit="1" customWidth="1"/>
    <col min="5402" max="5402" width="20.21875" style="103" customWidth="1"/>
    <col min="5403" max="5403" width="27" style="103" customWidth="1"/>
    <col min="5404" max="5404" width="19.44140625" style="103" bestFit="1" customWidth="1"/>
    <col min="5405" max="5405" width="26.44140625" style="103" customWidth="1"/>
    <col min="5406" max="5406" width="25.77734375" style="103" customWidth="1"/>
    <col min="5407" max="5407" width="24.44140625" style="103" customWidth="1"/>
    <col min="5408" max="5409" width="40.77734375" style="103" bestFit="1" customWidth="1"/>
    <col min="5410" max="5412" width="29.21875" style="103" customWidth="1"/>
    <col min="5413" max="5414" width="22.21875" style="103" bestFit="1" customWidth="1"/>
    <col min="5415" max="5415" width="24.21875" style="103" customWidth="1"/>
    <col min="5416" max="5632" width="9.21875" style="103"/>
    <col min="5633" max="5633" width="11.5546875" style="103" bestFit="1" customWidth="1"/>
    <col min="5634" max="5634" width="111.5546875" style="103" customWidth="1"/>
    <col min="5635" max="5635" width="15.21875" style="103" bestFit="1" customWidth="1"/>
    <col min="5636" max="5636" width="16.6640625" style="103" bestFit="1" customWidth="1"/>
    <col min="5637" max="5638" width="18.5546875" style="103" customWidth="1"/>
    <col min="5639" max="5639" width="18.21875" style="103" customWidth="1"/>
    <col min="5640" max="5640" width="19.77734375" style="103" customWidth="1"/>
    <col min="5641" max="5642" width="27.77734375" style="103" customWidth="1"/>
    <col min="5643" max="5645" width="22.21875" style="103" customWidth="1"/>
    <col min="5646" max="5646" width="21.21875" style="103" customWidth="1"/>
    <col min="5647" max="5647" width="20.88671875" style="103" bestFit="1" customWidth="1"/>
    <col min="5648" max="5648" width="27.109375" style="103" customWidth="1"/>
    <col min="5649" max="5649" width="27.44140625" style="103" customWidth="1"/>
    <col min="5650" max="5650" width="21.44140625" style="103" customWidth="1"/>
    <col min="5651" max="5651" width="19.77734375" style="103" customWidth="1"/>
    <col min="5652" max="5654" width="18.5546875" style="103" customWidth="1"/>
    <col min="5655" max="5656" width="20.21875" style="103" customWidth="1"/>
    <col min="5657" max="5657" width="20.77734375" style="103" bestFit="1" customWidth="1"/>
    <col min="5658" max="5658" width="20.21875" style="103" customWidth="1"/>
    <col min="5659" max="5659" width="27" style="103" customWidth="1"/>
    <col min="5660" max="5660" width="19.44140625" style="103" bestFit="1" customWidth="1"/>
    <col min="5661" max="5661" width="26.44140625" style="103" customWidth="1"/>
    <col min="5662" max="5662" width="25.77734375" style="103" customWidth="1"/>
    <col min="5663" max="5663" width="24.44140625" style="103" customWidth="1"/>
    <col min="5664" max="5665" width="40.77734375" style="103" bestFit="1" customWidth="1"/>
    <col min="5666" max="5668" width="29.21875" style="103" customWidth="1"/>
    <col min="5669" max="5670" width="22.21875" style="103" bestFit="1" customWidth="1"/>
    <col min="5671" max="5671" width="24.21875" style="103" customWidth="1"/>
    <col min="5672" max="5888" width="9.21875" style="103"/>
    <col min="5889" max="5889" width="11.5546875" style="103" bestFit="1" customWidth="1"/>
    <col min="5890" max="5890" width="111.5546875" style="103" customWidth="1"/>
    <col min="5891" max="5891" width="15.21875" style="103" bestFit="1" customWidth="1"/>
    <col min="5892" max="5892" width="16.6640625" style="103" bestFit="1" customWidth="1"/>
    <col min="5893" max="5894" width="18.5546875" style="103" customWidth="1"/>
    <col min="5895" max="5895" width="18.21875" style="103" customWidth="1"/>
    <col min="5896" max="5896" width="19.77734375" style="103" customWidth="1"/>
    <col min="5897" max="5898" width="27.77734375" style="103" customWidth="1"/>
    <col min="5899" max="5901" width="22.21875" style="103" customWidth="1"/>
    <col min="5902" max="5902" width="21.21875" style="103" customWidth="1"/>
    <col min="5903" max="5903" width="20.88671875" style="103" bestFit="1" customWidth="1"/>
    <col min="5904" max="5904" width="27.109375" style="103" customWidth="1"/>
    <col min="5905" max="5905" width="27.44140625" style="103" customWidth="1"/>
    <col min="5906" max="5906" width="21.44140625" style="103" customWidth="1"/>
    <col min="5907" max="5907" width="19.77734375" style="103" customWidth="1"/>
    <col min="5908" max="5910" width="18.5546875" style="103" customWidth="1"/>
    <col min="5911" max="5912" width="20.21875" style="103" customWidth="1"/>
    <col min="5913" max="5913" width="20.77734375" style="103" bestFit="1" customWidth="1"/>
    <col min="5914" max="5914" width="20.21875" style="103" customWidth="1"/>
    <col min="5915" max="5915" width="27" style="103" customWidth="1"/>
    <col min="5916" max="5916" width="19.44140625" style="103" bestFit="1" customWidth="1"/>
    <col min="5917" max="5917" width="26.44140625" style="103" customWidth="1"/>
    <col min="5918" max="5918" width="25.77734375" style="103" customWidth="1"/>
    <col min="5919" max="5919" width="24.44140625" style="103" customWidth="1"/>
    <col min="5920" max="5921" width="40.77734375" style="103" bestFit="1" customWidth="1"/>
    <col min="5922" max="5924" width="29.21875" style="103" customWidth="1"/>
    <col min="5925" max="5926" width="22.21875" style="103" bestFit="1" customWidth="1"/>
    <col min="5927" max="5927" width="24.21875" style="103" customWidth="1"/>
    <col min="5928" max="6144" width="9.21875" style="103"/>
    <col min="6145" max="6145" width="11.5546875" style="103" bestFit="1" customWidth="1"/>
    <col min="6146" max="6146" width="111.5546875" style="103" customWidth="1"/>
    <col min="6147" max="6147" width="15.21875" style="103" bestFit="1" customWidth="1"/>
    <col min="6148" max="6148" width="16.6640625" style="103" bestFit="1" customWidth="1"/>
    <col min="6149" max="6150" width="18.5546875" style="103" customWidth="1"/>
    <col min="6151" max="6151" width="18.21875" style="103" customWidth="1"/>
    <col min="6152" max="6152" width="19.77734375" style="103" customWidth="1"/>
    <col min="6153" max="6154" width="27.77734375" style="103" customWidth="1"/>
    <col min="6155" max="6157" width="22.21875" style="103" customWidth="1"/>
    <col min="6158" max="6158" width="21.21875" style="103" customWidth="1"/>
    <col min="6159" max="6159" width="20.88671875" style="103" bestFit="1" customWidth="1"/>
    <col min="6160" max="6160" width="27.109375" style="103" customWidth="1"/>
    <col min="6161" max="6161" width="27.44140625" style="103" customWidth="1"/>
    <col min="6162" max="6162" width="21.44140625" style="103" customWidth="1"/>
    <col min="6163" max="6163" width="19.77734375" style="103" customWidth="1"/>
    <col min="6164" max="6166" width="18.5546875" style="103" customWidth="1"/>
    <col min="6167" max="6168" width="20.21875" style="103" customWidth="1"/>
    <col min="6169" max="6169" width="20.77734375" style="103" bestFit="1" customWidth="1"/>
    <col min="6170" max="6170" width="20.21875" style="103" customWidth="1"/>
    <col min="6171" max="6171" width="27" style="103" customWidth="1"/>
    <col min="6172" max="6172" width="19.44140625" style="103" bestFit="1" customWidth="1"/>
    <col min="6173" max="6173" width="26.44140625" style="103" customWidth="1"/>
    <col min="6174" max="6174" width="25.77734375" style="103" customWidth="1"/>
    <col min="6175" max="6175" width="24.44140625" style="103" customWidth="1"/>
    <col min="6176" max="6177" width="40.77734375" style="103" bestFit="1" customWidth="1"/>
    <col min="6178" max="6180" width="29.21875" style="103" customWidth="1"/>
    <col min="6181" max="6182" width="22.21875" style="103" bestFit="1" customWidth="1"/>
    <col min="6183" max="6183" width="24.21875" style="103" customWidth="1"/>
    <col min="6184" max="6400" width="9.21875" style="103"/>
    <col min="6401" max="6401" width="11.5546875" style="103" bestFit="1" customWidth="1"/>
    <col min="6402" max="6402" width="111.5546875" style="103" customWidth="1"/>
    <col min="6403" max="6403" width="15.21875" style="103" bestFit="1" customWidth="1"/>
    <col min="6404" max="6404" width="16.6640625" style="103" bestFit="1" customWidth="1"/>
    <col min="6405" max="6406" width="18.5546875" style="103" customWidth="1"/>
    <col min="6407" max="6407" width="18.21875" style="103" customWidth="1"/>
    <col min="6408" max="6408" width="19.77734375" style="103" customWidth="1"/>
    <col min="6409" max="6410" width="27.77734375" style="103" customWidth="1"/>
    <col min="6411" max="6413" width="22.21875" style="103" customWidth="1"/>
    <col min="6414" max="6414" width="21.21875" style="103" customWidth="1"/>
    <col min="6415" max="6415" width="20.88671875" style="103" bestFit="1" customWidth="1"/>
    <col min="6416" max="6416" width="27.109375" style="103" customWidth="1"/>
    <col min="6417" max="6417" width="27.44140625" style="103" customWidth="1"/>
    <col min="6418" max="6418" width="21.44140625" style="103" customWidth="1"/>
    <col min="6419" max="6419" width="19.77734375" style="103" customWidth="1"/>
    <col min="6420" max="6422" width="18.5546875" style="103" customWidth="1"/>
    <col min="6423" max="6424" width="20.21875" style="103" customWidth="1"/>
    <col min="6425" max="6425" width="20.77734375" style="103" bestFit="1" customWidth="1"/>
    <col min="6426" max="6426" width="20.21875" style="103" customWidth="1"/>
    <col min="6427" max="6427" width="27" style="103" customWidth="1"/>
    <col min="6428" max="6428" width="19.44140625" style="103" bestFit="1" customWidth="1"/>
    <col min="6429" max="6429" width="26.44140625" style="103" customWidth="1"/>
    <col min="6430" max="6430" width="25.77734375" style="103" customWidth="1"/>
    <col min="6431" max="6431" width="24.44140625" style="103" customWidth="1"/>
    <col min="6432" max="6433" width="40.77734375" style="103" bestFit="1" customWidth="1"/>
    <col min="6434" max="6436" width="29.21875" style="103" customWidth="1"/>
    <col min="6437" max="6438" width="22.21875" style="103" bestFit="1" customWidth="1"/>
    <col min="6439" max="6439" width="24.21875" style="103" customWidth="1"/>
    <col min="6440" max="6656" width="9.21875" style="103"/>
    <col min="6657" max="6657" width="11.5546875" style="103" bestFit="1" customWidth="1"/>
    <col min="6658" max="6658" width="111.5546875" style="103" customWidth="1"/>
    <col min="6659" max="6659" width="15.21875" style="103" bestFit="1" customWidth="1"/>
    <col min="6660" max="6660" width="16.6640625" style="103" bestFit="1" customWidth="1"/>
    <col min="6661" max="6662" width="18.5546875" style="103" customWidth="1"/>
    <col min="6663" max="6663" width="18.21875" style="103" customWidth="1"/>
    <col min="6664" max="6664" width="19.77734375" style="103" customWidth="1"/>
    <col min="6665" max="6666" width="27.77734375" style="103" customWidth="1"/>
    <col min="6667" max="6669" width="22.21875" style="103" customWidth="1"/>
    <col min="6670" max="6670" width="21.21875" style="103" customWidth="1"/>
    <col min="6671" max="6671" width="20.88671875" style="103" bestFit="1" customWidth="1"/>
    <col min="6672" max="6672" width="27.109375" style="103" customWidth="1"/>
    <col min="6673" max="6673" width="27.44140625" style="103" customWidth="1"/>
    <col min="6674" max="6674" width="21.44140625" style="103" customWidth="1"/>
    <col min="6675" max="6675" width="19.77734375" style="103" customWidth="1"/>
    <col min="6676" max="6678" width="18.5546875" style="103" customWidth="1"/>
    <col min="6679" max="6680" width="20.21875" style="103" customWidth="1"/>
    <col min="6681" max="6681" width="20.77734375" style="103" bestFit="1" customWidth="1"/>
    <col min="6682" max="6682" width="20.21875" style="103" customWidth="1"/>
    <col min="6683" max="6683" width="27" style="103" customWidth="1"/>
    <col min="6684" max="6684" width="19.44140625" style="103" bestFit="1" customWidth="1"/>
    <col min="6685" max="6685" width="26.44140625" style="103" customWidth="1"/>
    <col min="6686" max="6686" width="25.77734375" style="103" customWidth="1"/>
    <col min="6687" max="6687" width="24.44140625" style="103" customWidth="1"/>
    <col min="6688" max="6689" width="40.77734375" style="103" bestFit="1" customWidth="1"/>
    <col min="6690" max="6692" width="29.21875" style="103" customWidth="1"/>
    <col min="6693" max="6694" width="22.21875" style="103" bestFit="1" customWidth="1"/>
    <col min="6695" max="6695" width="24.21875" style="103" customWidth="1"/>
    <col min="6696" max="6912" width="9.21875" style="103"/>
    <col min="6913" max="6913" width="11.5546875" style="103" bestFit="1" customWidth="1"/>
    <col min="6914" max="6914" width="111.5546875" style="103" customWidth="1"/>
    <col min="6915" max="6915" width="15.21875" style="103" bestFit="1" customWidth="1"/>
    <col min="6916" max="6916" width="16.6640625" style="103" bestFit="1" customWidth="1"/>
    <col min="6917" max="6918" width="18.5546875" style="103" customWidth="1"/>
    <col min="6919" max="6919" width="18.21875" style="103" customWidth="1"/>
    <col min="6920" max="6920" width="19.77734375" style="103" customWidth="1"/>
    <col min="6921" max="6922" width="27.77734375" style="103" customWidth="1"/>
    <col min="6923" max="6925" width="22.21875" style="103" customWidth="1"/>
    <col min="6926" max="6926" width="21.21875" style="103" customWidth="1"/>
    <col min="6927" max="6927" width="20.88671875" style="103" bestFit="1" customWidth="1"/>
    <col min="6928" max="6928" width="27.109375" style="103" customWidth="1"/>
    <col min="6929" max="6929" width="27.44140625" style="103" customWidth="1"/>
    <col min="6930" max="6930" width="21.44140625" style="103" customWidth="1"/>
    <col min="6931" max="6931" width="19.77734375" style="103" customWidth="1"/>
    <col min="6932" max="6934" width="18.5546875" style="103" customWidth="1"/>
    <col min="6935" max="6936" width="20.21875" style="103" customWidth="1"/>
    <col min="6937" max="6937" width="20.77734375" style="103" bestFit="1" customWidth="1"/>
    <col min="6938" max="6938" width="20.21875" style="103" customWidth="1"/>
    <col min="6939" max="6939" width="27" style="103" customWidth="1"/>
    <col min="6940" max="6940" width="19.44140625" style="103" bestFit="1" customWidth="1"/>
    <col min="6941" max="6941" width="26.44140625" style="103" customWidth="1"/>
    <col min="6942" max="6942" width="25.77734375" style="103" customWidth="1"/>
    <col min="6943" max="6943" width="24.44140625" style="103" customWidth="1"/>
    <col min="6944" max="6945" width="40.77734375" style="103" bestFit="1" customWidth="1"/>
    <col min="6946" max="6948" width="29.21875" style="103" customWidth="1"/>
    <col min="6949" max="6950" width="22.21875" style="103" bestFit="1" customWidth="1"/>
    <col min="6951" max="6951" width="24.21875" style="103" customWidth="1"/>
    <col min="6952" max="7168" width="9.21875" style="103"/>
    <col min="7169" max="7169" width="11.5546875" style="103" bestFit="1" customWidth="1"/>
    <col min="7170" max="7170" width="111.5546875" style="103" customWidth="1"/>
    <col min="7171" max="7171" width="15.21875" style="103" bestFit="1" customWidth="1"/>
    <col min="7172" max="7172" width="16.6640625" style="103" bestFit="1" customWidth="1"/>
    <col min="7173" max="7174" width="18.5546875" style="103" customWidth="1"/>
    <col min="7175" max="7175" width="18.21875" style="103" customWidth="1"/>
    <col min="7176" max="7176" width="19.77734375" style="103" customWidth="1"/>
    <col min="7177" max="7178" width="27.77734375" style="103" customWidth="1"/>
    <col min="7179" max="7181" width="22.21875" style="103" customWidth="1"/>
    <col min="7182" max="7182" width="21.21875" style="103" customWidth="1"/>
    <col min="7183" max="7183" width="20.88671875" style="103" bestFit="1" customWidth="1"/>
    <col min="7184" max="7184" width="27.109375" style="103" customWidth="1"/>
    <col min="7185" max="7185" width="27.44140625" style="103" customWidth="1"/>
    <col min="7186" max="7186" width="21.44140625" style="103" customWidth="1"/>
    <col min="7187" max="7187" width="19.77734375" style="103" customWidth="1"/>
    <col min="7188" max="7190" width="18.5546875" style="103" customWidth="1"/>
    <col min="7191" max="7192" width="20.21875" style="103" customWidth="1"/>
    <col min="7193" max="7193" width="20.77734375" style="103" bestFit="1" customWidth="1"/>
    <col min="7194" max="7194" width="20.21875" style="103" customWidth="1"/>
    <col min="7195" max="7195" width="27" style="103" customWidth="1"/>
    <col min="7196" max="7196" width="19.44140625" style="103" bestFit="1" customWidth="1"/>
    <col min="7197" max="7197" width="26.44140625" style="103" customWidth="1"/>
    <col min="7198" max="7198" width="25.77734375" style="103" customWidth="1"/>
    <col min="7199" max="7199" width="24.44140625" style="103" customWidth="1"/>
    <col min="7200" max="7201" width="40.77734375" style="103" bestFit="1" customWidth="1"/>
    <col min="7202" max="7204" width="29.21875" style="103" customWidth="1"/>
    <col min="7205" max="7206" width="22.21875" style="103" bestFit="1" customWidth="1"/>
    <col min="7207" max="7207" width="24.21875" style="103" customWidth="1"/>
    <col min="7208" max="7424" width="9.21875" style="103"/>
    <col min="7425" max="7425" width="11.5546875" style="103" bestFit="1" customWidth="1"/>
    <col min="7426" max="7426" width="111.5546875" style="103" customWidth="1"/>
    <col min="7427" max="7427" width="15.21875" style="103" bestFit="1" customWidth="1"/>
    <col min="7428" max="7428" width="16.6640625" style="103" bestFit="1" customWidth="1"/>
    <col min="7429" max="7430" width="18.5546875" style="103" customWidth="1"/>
    <col min="7431" max="7431" width="18.21875" style="103" customWidth="1"/>
    <col min="7432" max="7432" width="19.77734375" style="103" customWidth="1"/>
    <col min="7433" max="7434" width="27.77734375" style="103" customWidth="1"/>
    <col min="7435" max="7437" width="22.21875" style="103" customWidth="1"/>
    <col min="7438" max="7438" width="21.21875" style="103" customWidth="1"/>
    <col min="7439" max="7439" width="20.88671875" style="103" bestFit="1" customWidth="1"/>
    <col min="7440" max="7440" width="27.109375" style="103" customWidth="1"/>
    <col min="7441" max="7441" width="27.44140625" style="103" customWidth="1"/>
    <col min="7442" max="7442" width="21.44140625" style="103" customWidth="1"/>
    <col min="7443" max="7443" width="19.77734375" style="103" customWidth="1"/>
    <col min="7444" max="7446" width="18.5546875" style="103" customWidth="1"/>
    <col min="7447" max="7448" width="20.21875" style="103" customWidth="1"/>
    <col min="7449" max="7449" width="20.77734375" style="103" bestFit="1" customWidth="1"/>
    <col min="7450" max="7450" width="20.21875" style="103" customWidth="1"/>
    <col min="7451" max="7451" width="27" style="103" customWidth="1"/>
    <col min="7452" max="7452" width="19.44140625" style="103" bestFit="1" customWidth="1"/>
    <col min="7453" max="7453" width="26.44140625" style="103" customWidth="1"/>
    <col min="7454" max="7454" width="25.77734375" style="103" customWidth="1"/>
    <col min="7455" max="7455" width="24.44140625" style="103" customWidth="1"/>
    <col min="7456" max="7457" width="40.77734375" style="103" bestFit="1" customWidth="1"/>
    <col min="7458" max="7460" width="29.21875" style="103" customWidth="1"/>
    <col min="7461" max="7462" width="22.21875" style="103" bestFit="1" customWidth="1"/>
    <col min="7463" max="7463" width="24.21875" style="103" customWidth="1"/>
    <col min="7464" max="7680" width="9.21875" style="103"/>
    <col min="7681" max="7681" width="11.5546875" style="103" bestFit="1" customWidth="1"/>
    <col min="7682" max="7682" width="111.5546875" style="103" customWidth="1"/>
    <col min="7683" max="7683" width="15.21875" style="103" bestFit="1" customWidth="1"/>
    <col min="7684" max="7684" width="16.6640625" style="103" bestFit="1" customWidth="1"/>
    <col min="7685" max="7686" width="18.5546875" style="103" customWidth="1"/>
    <col min="7687" max="7687" width="18.21875" style="103" customWidth="1"/>
    <col min="7688" max="7688" width="19.77734375" style="103" customWidth="1"/>
    <col min="7689" max="7690" width="27.77734375" style="103" customWidth="1"/>
    <col min="7691" max="7693" width="22.21875" style="103" customWidth="1"/>
    <col min="7694" max="7694" width="21.21875" style="103" customWidth="1"/>
    <col min="7695" max="7695" width="20.88671875" style="103" bestFit="1" customWidth="1"/>
    <col min="7696" max="7696" width="27.109375" style="103" customWidth="1"/>
    <col min="7697" max="7697" width="27.44140625" style="103" customWidth="1"/>
    <col min="7698" max="7698" width="21.44140625" style="103" customWidth="1"/>
    <col min="7699" max="7699" width="19.77734375" style="103" customWidth="1"/>
    <col min="7700" max="7702" width="18.5546875" style="103" customWidth="1"/>
    <col min="7703" max="7704" width="20.21875" style="103" customWidth="1"/>
    <col min="7705" max="7705" width="20.77734375" style="103" bestFit="1" customWidth="1"/>
    <col min="7706" max="7706" width="20.21875" style="103" customWidth="1"/>
    <col min="7707" max="7707" width="27" style="103" customWidth="1"/>
    <col min="7708" max="7708" width="19.44140625" style="103" bestFit="1" customWidth="1"/>
    <col min="7709" max="7709" width="26.44140625" style="103" customWidth="1"/>
    <col min="7710" max="7710" width="25.77734375" style="103" customWidth="1"/>
    <col min="7711" max="7711" width="24.44140625" style="103" customWidth="1"/>
    <col min="7712" max="7713" width="40.77734375" style="103" bestFit="1" customWidth="1"/>
    <col min="7714" max="7716" width="29.21875" style="103" customWidth="1"/>
    <col min="7717" max="7718" width="22.21875" style="103" bestFit="1" customWidth="1"/>
    <col min="7719" max="7719" width="24.21875" style="103" customWidth="1"/>
    <col min="7720" max="7936" width="9.21875" style="103"/>
    <col min="7937" max="7937" width="11.5546875" style="103" bestFit="1" customWidth="1"/>
    <col min="7938" max="7938" width="111.5546875" style="103" customWidth="1"/>
    <col min="7939" max="7939" width="15.21875" style="103" bestFit="1" customWidth="1"/>
    <col min="7940" max="7940" width="16.6640625" style="103" bestFit="1" customWidth="1"/>
    <col min="7941" max="7942" width="18.5546875" style="103" customWidth="1"/>
    <col min="7943" max="7943" width="18.21875" style="103" customWidth="1"/>
    <col min="7944" max="7944" width="19.77734375" style="103" customWidth="1"/>
    <col min="7945" max="7946" width="27.77734375" style="103" customWidth="1"/>
    <col min="7947" max="7949" width="22.21875" style="103" customWidth="1"/>
    <col min="7950" max="7950" width="21.21875" style="103" customWidth="1"/>
    <col min="7951" max="7951" width="20.88671875" style="103" bestFit="1" customWidth="1"/>
    <col min="7952" max="7952" width="27.109375" style="103" customWidth="1"/>
    <col min="7953" max="7953" width="27.44140625" style="103" customWidth="1"/>
    <col min="7954" max="7954" width="21.44140625" style="103" customWidth="1"/>
    <col min="7955" max="7955" width="19.77734375" style="103" customWidth="1"/>
    <col min="7956" max="7958" width="18.5546875" style="103" customWidth="1"/>
    <col min="7959" max="7960" width="20.21875" style="103" customWidth="1"/>
    <col min="7961" max="7961" width="20.77734375" style="103" bestFit="1" customWidth="1"/>
    <col min="7962" max="7962" width="20.21875" style="103" customWidth="1"/>
    <col min="7963" max="7963" width="27" style="103" customWidth="1"/>
    <col min="7964" max="7964" width="19.44140625" style="103" bestFit="1" customWidth="1"/>
    <col min="7965" max="7965" width="26.44140625" style="103" customWidth="1"/>
    <col min="7966" max="7966" width="25.77734375" style="103" customWidth="1"/>
    <col min="7967" max="7967" width="24.44140625" style="103" customWidth="1"/>
    <col min="7968" max="7969" width="40.77734375" style="103" bestFit="1" customWidth="1"/>
    <col min="7970" max="7972" width="29.21875" style="103" customWidth="1"/>
    <col min="7973" max="7974" width="22.21875" style="103" bestFit="1" customWidth="1"/>
    <col min="7975" max="7975" width="24.21875" style="103" customWidth="1"/>
    <col min="7976" max="8192" width="9.21875" style="103"/>
    <col min="8193" max="8193" width="11.5546875" style="103" bestFit="1" customWidth="1"/>
    <col min="8194" max="8194" width="111.5546875" style="103" customWidth="1"/>
    <col min="8195" max="8195" width="15.21875" style="103" bestFit="1" customWidth="1"/>
    <col min="8196" max="8196" width="16.6640625" style="103" bestFit="1" customWidth="1"/>
    <col min="8197" max="8198" width="18.5546875" style="103" customWidth="1"/>
    <col min="8199" max="8199" width="18.21875" style="103" customWidth="1"/>
    <col min="8200" max="8200" width="19.77734375" style="103" customWidth="1"/>
    <col min="8201" max="8202" width="27.77734375" style="103" customWidth="1"/>
    <col min="8203" max="8205" width="22.21875" style="103" customWidth="1"/>
    <col min="8206" max="8206" width="21.21875" style="103" customWidth="1"/>
    <col min="8207" max="8207" width="20.88671875" style="103" bestFit="1" customWidth="1"/>
    <col min="8208" max="8208" width="27.109375" style="103" customWidth="1"/>
    <col min="8209" max="8209" width="27.44140625" style="103" customWidth="1"/>
    <col min="8210" max="8210" width="21.44140625" style="103" customWidth="1"/>
    <col min="8211" max="8211" width="19.77734375" style="103" customWidth="1"/>
    <col min="8212" max="8214" width="18.5546875" style="103" customWidth="1"/>
    <col min="8215" max="8216" width="20.21875" style="103" customWidth="1"/>
    <col min="8217" max="8217" width="20.77734375" style="103" bestFit="1" customWidth="1"/>
    <col min="8218" max="8218" width="20.21875" style="103" customWidth="1"/>
    <col min="8219" max="8219" width="27" style="103" customWidth="1"/>
    <col min="8220" max="8220" width="19.44140625" style="103" bestFit="1" customWidth="1"/>
    <col min="8221" max="8221" width="26.44140625" style="103" customWidth="1"/>
    <col min="8222" max="8222" width="25.77734375" style="103" customWidth="1"/>
    <col min="8223" max="8223" width="24.44140625" style="103" customWidth="1"/>
    <col min="8224" max="8225" width="40.77734375" style="103" bestFit="1" customWidth="1"/>
    <col min="8226" max="8228" width="29.21875" style="103" customWidth="1"/>
    <col min="8229" max="8230" width="22.21875" style="103" bestFit="1" customWidth="1"/>
    <col min="8231" max="8231" width="24.21875" style="103" customWidth="1"/>
    <col min="8232" max="8448" width="9.21875" style="103"/>
    <col min="8449" max="8449" width="11.5546875" style="103" bestFit="1" customWidth="1"/>
    <col min="8450" max="8450" width="111.5546875" style="103" customWidth="1"/>
    <col min="8451" max="8451" width="15.21875" style="103" bestFit="1" customWidth="1"/>
    <col min="8452" max="8452" width="16.6640625" style="103" bestFit="1" customWidth="1"/>
    <col min="8453" max="8454" width="18.5546875" style="103" customWidth="1"/>
    <col min="8455" max="8455" width="18.21875" style="103" customWidth="1"/>
    <col min="8456" max="8456" width="19.77734375" style="103" customWidth="1"/>
    <col min="8457" max="8458" width="27.77734375" style="103" customWidth="1"/>
    <col min="8459" max="8461" width="22.21875" style="103" customWidth="1"/>
    <col min="8462" max="8462" width="21.21875" style="103" customWidth="1"/>
    <col min="8463" max="8463" width="20.88671875" style="103" bestFit="1" customWidth="1"/>
    <col min="8464" max="8464" width="27.109375" style="103" customWidth="1"/>
    <col min="8465" max="8465" width="27.44140625" style="103" customWidth="1"/>
    <col min="8466" max="8466" width="21.44140625" style="103" customWidth="1"/>
    <col min="8467" max="8467" width="19.77734375" style="103" customWidth="1"/>
    <col min="8468" max="8470" width="18.5546875" style="103" customWidth="1"/>
    <col min="8471" max="8472" width="20.21875" style="103" customWidth="1"/>
    <col min="8473" max="8473" width="20.77734375" style="103" bestFit="1" customWidth="1"/>
    <col min="8474" max="8474" width="20.21875" style="103" customWidth="1"/>
    <col min="8475" max="8475" width="27" style="103" customWidth="1"/>
    <col min="8476" max="8476" width="19.44140625" style="103" bestFit="1" customWidth="1"/>
    <col min="8477" max="8477" width="26.44140625" style="103" customWidth="1"/>
    <col min="8478" max="8478" width="25.77734375" style="103" customWidth="1"/>
    <col min="8479" max="8479" width="24.44140625" style="103" customWidth="1"/>
    <col min="8480" max="8481" width="40.77734375" style="103" bestFit="1" customWidth="1"/>
    <col min="8482" max="8484" width="29.21875" style="103" customWidth="1"/>
    <col min="8485" max="8486" width="22.21875" style="103" bestFit="1" customWidth="1"/>
    <col min="8487" max="8487" width="24.21875" style="103" customWidth="1"/>
    <col min="8488" max="8704" width="9.21875" style="103"/>
    <col min="8705" max="8705" width="11.5546875" style="103" bestFit="1" customWidth="1"/>
    <col min="8706" max="8706" width="111.5546875" style="103" customWidth="1"/>
    <col min="8707" max="8707" width="15.21875" style="103" bestFit="1" customWidth="1"/>
    <col min="8708" max="8708" width="16.6640625" style="103" bestFit="1" customWidth="1"/>
    <col min="8709" max="8710" width="18.5546875" style="103" customWidth="1"/>
    <col min="8711" max="8711" width="18.21875" style="103" customWidth="1"/>
    <col min="8712" max="8712" width="19.77734375" style="103" customWidth="1"/>
    <col min="8713" max="8714" width="27.77734375" style="103" customWidth="1"/>
    <col min="8715" max="8717" width="22.21875" style="103" customWidth="1"/>
    <col min="8718" max="8718" width="21.21875" style="103" customWidth="1"/>
    <col min="8719" max="8719" width="20.88671875" style="103" bestFit="1" customWidth="1"/>
    <col min="8720" max="8720" width="27.109375" style="103" customWidth="1"/>
    <col min="8721" max="8721" width="27.44140625" style="103" customWidth="1"/>
    <col min="8722" max="8722" width="21.44140625" style="103" customWidth="1"/>
    <col min="8723" max="8723" width="19.77734375" style="103" customWidth="1"/>
    <col min="8724" max="8726" width="18.5546875" style="103" customWidth="1"/>
    <col min="8727" max="8728" width="20.21875" style="103" customWidth="1"/>
    <col min="8729" max="8729" width="20.77734375" style="103" bestFit="1" customWidth="1"/>
    <col min="8730" max="8730" width="20.21875" style="103" customWidth="1"/>
    <col min="8731" max="8731" width="27" style="103" customWidth="1"/>
    <col min="8732" max="8732" width="19.44140625" style="103" bestFit="1" customWidth="1"/>
    <col min="8733" max="8733" width="26.44140625" style="103" customWidth="1"/>
    <col min="8734" max="8734" width="25.77734375" style="103" customWidth="1"/>
    <col min="8735" max="8735" width="24.44140625" style="103" customWidth="1"/>
    <col min="8736" max="8737" width="40.77734375" style="103" bestFit="1" customWidth="1"/>
    <col min="8738" max="8740" width="29.21875" style="103" customWidth="1"/>
    <col min="8741" max="8742" width="22.21875" style="103" bestFit="1" customWidth="1"/>
    <col min="8743" max="8743" width="24.21875" style="103" customWidth="1"/>
    <col min="8744" max="8960" width="9.21875" style="103"/>
    <col min="8961" max="8961" width="11.5546875" style="103" bestFit="1" customWidth="1"/>
    <col min="8962" max="8962" width="111.5546875" style="103" customWidth="1"/>
    <col min="8963" max="8963" width="15.21875" style="103" bestFit="1" customWidth="1"/>
    <col min="8964" max="8964" width="16.6640625" style="103" bestFit="1" customWidth="1"/>
    <col min="8965" max="8966" width="18.5546875" style="103" customWidth="1"/>
    <col min="8967" max="8967" width="18.21875" style="103" customWidth="1"/>
    <col min="8968" max="8968" width="19.77734375" style="103" customWidth="1"/>
    <col min="8969" max="8970" width="27.77734375" style="103" customWidth="1"/>
    <col min="8971" max="8973" width="22.21875" style="103" customWidth="1"/>
    <col min="8974" max="8974" width="21.21875" style="103" customWidth="1"/>
    <col min="8975" max="8975" width="20.88671875" style="103" bestFit="1" customWidth="1"/>
    <col min="8976" max="8976" width="27.109375" style="103" customWidth="1"/>
    <col min="8977" max="8977" width="27.44140625" style="103" customWidth="1"/>
    <col min="8978" max="8978" width="21.44140625" style="103" customWidth="1"/>
    <col min="8979" max="8979" width="19.77734375" style="103" customWidth="1"/>
    <col min="8980" max="8982" width="18.5546875" style="103" customWidth="1"/>
    <col min="8983" max="8984" width="20.21875" style="103" customWidth="1"/>
    <col min="8985" max="8985" width="20.77734375" style="103" bestFit="1" customWidth="1"/>
    <col min="8986" max="8986" width="20.21875" style="103" customWidth="1"/>
    <col min="8987" max="8987" width="27" style="103" customWidth="1"/>
    <col min="8988" max="8988" width="19.44140625" style="103" bestFit="1" customWidth="1"/>
    <col min="8989" max="8989" width="26.44140625" style="103" customWidth="1"/>
    <col min="8990" max="8990" width="25.77734375" style="103" customWidth="1"/>
    <col min="8991" max="8991" width="24.44140625" style="103" customWidth="1"/>
    <col min="8992" max="8993" width="40.77734375" style="103" bestFit="1" customWidth="1"/>
    <col min="8994" max="8996" width="29.21875" style="103" customWidth="1"/>
    <col min="8997" max="8998" width="22.21875" style="103" bestFit="1" customWidth="1"/>
    <col min="8999" max="8999" width="24.21875" style="103" customWidth="1"/>
    <col min="9000" max="9216" width="9.21875" style="103"/>
    <col min="9217" max="9217" width="11.5546875" style="103" bestFit="1" customWidth="1"/>
    <col min="9218" max="9218" width="111.5546875" style="103" customWidth="1"/>
    <col min="9219" max="9219" width="15.21875" style="103" bestFit="1" customWidth="1"/>
    <col min="9220" max="9220" width="16.6640625" style="103" bestFit="1" customWidth="1"/>
    <col min="9221" max="9222" width="18.5546875" style="103" customWidth="1"/>
    <col min="9223" max="9223" width="18.21875" style="103" customWidth="1"/>
    <col min="9224" max="9224" width="19.77734375" style="103" customWidth="1"/>
    <col min="9225" max="9226" width="27.77734375" style="103" customWidth="1"/>
    <col min="9227" max="9229" width="22.21875" style="103" customWidth="1"/>
    <col min="9230" max="9230" width="21.21875" style="103" customWidth="1"/>
    <col min="9231" max="9231" width="20.88671875" style="103" bestFit="1" customWidth="1"/>
    <col min="9232" max="9232" width="27.109375" style="103" customWidth="1"/>
    <col min="9233" max="9233" width="27.44140625" style="103" customWidth="1"/>
    <col min="9234" max="9234" width="21.44140625" style="103" customWidth="1"/>
    <col min="9235" max="9235" width="19.77734375" style="103" customWidth="1"/>
    <col min="9236" max="9238" width="18.5546875" style="103" customWidth="1"/>
    <col min="9239" max="9240" width="20.21875" style="103" customWidth="1"/>
    <col min="9241" max="9241" width="20.77734375" style="103" bestFit="1" customWidth="1"/>
    <col min="9242" max="9242" width="20.21875" style="103" customWidth="1"/>
    <col min="9243" max="9243" width="27" style="103" customWidth="1"/>
    <col min="9244" max="9244" width="19.44140625" style="103" bestFit="1" customWidth="1"/>
    <col min="9245" max="9245" width="26.44140625" style="103" customWidth="1"/>
    <col min="9246" max="9246" width="25.77734375" style="103" customWidth="1"/>
    <col min="9247" max="9247" width="24.44140625" style="103" customWidth="1"/>
    <col min="9248" max="9249" width="40.77734375" style="103" bestFit="1" customWidth="1"/>
    <col min="9250" max="9252" width="29.21875" style="103" customWidth="1"/>
    <col min="9253" max="9254" width="22.21875" style="103" bestFit="1" customWidth="1"/>
    <col min="9255" max="9255" width="24.21875" style="103" customWidth="1"/>
    <col min="9256" max="9472" width="9.21875" style="103"/>
    <col min="9473" max="9473" width="11.5546875" style="103" bestFit="1" customWidth="1"/>
    <col min="9474" max="9474" width="111.5546875" style="103" customWidth="1"/>
    <col min="9475" max="9475" width="15.21875" style="103" bestFit="1" customWidth="1"/>
    <col min="9476" max="9476" width="16.6640625" style="103" bestFit="1" customWidth="1"/>
    <col min="9477" max="9478" width="18.5546875" style="103" customWidth="1"/>
    <col min="9479" max="9479" width="18.21875" style="103" customWidth="1"/>
    <col min="9480" max="9480" width="19.77734375" style="103" customWidth="1"/>
    <col min="9481" max="9482" width="27.77734375" style="103" customWidth="1"/>
    <col min="9483" max="9485" width="22.21875" style="103" customWidth="1"/>
    <col min="9486" max="9486" width="21.21875" style="103" customWidth="1"/>
    <col min="9487" max="9487" width="20.88671875" style="103" bestFit="1" customWidth="1"/>
    <col min="9488" max="9488" width="27.109375" style="103" customWidth="1"/>
    <col min="9489" max="9489" width="27.44140625" style="103" customWidth="1"/>
    <col min="9490" max="9490" width="21.44140625" style="103" customWidth="1"/>
    <col min="9491" max="9491" width="19.77734375" style="103" customWidth="1"/>
    <col min="9492" max="9494" width="18.5546875" style="103" customWidth="1"/>
    <col min="9495" max="9496" width="20.21875" style="103" customWidth="1"/>
    <col min="9497" max="9497" width="20.77734375" style="103" bestFit="1" customWidth="1"/>
    <col min="9498" max="9498" width="20.21875" style="103" customWidth="1"/>
    <col min="9499" max="9499" width="27" style="103" customWidth="1"/>
    <col min="9500" max="9500" width="19.44140625" style="103" bestFit="1" customWidth="1"/>
    <col min="9501" max="9501" width="26.44140625" style="103" customWidth="1"/>
    <col min="9502" max="9502" width="25.77734375" style="103" customWidth="1"/>
    <col min="9503" max="9503" width="24.44140625" style="103" customWidth="1"/>
    <col min="9504" max="9505" width="40.77734375" style="103" bestFit="1" customWidth="1"/>
    <col min="9506" max="9508" width="29.21875" style="103" customWidth="1"/>
    <col min="9509" max="9510" width="22.21875" style="103" bestFit="1" customWidth="1"/>
    <col min="9511" max="9511" width="24.21875" style="103" customWidth="1"/>
    <col min="9512" max="9728" width="9.21875" style="103"/>
    <col min="9729" max="9729" width="11.5546875" style="103" bestFit="1" customWidth="1"/>
    <col min="9730" max="9730" width="111.5546875" style="103" customWidth="1"/>
    <col min="9731" max="9731" width="15.21875" style="103" bestFit="1" customWidth="1"/>
    <col min="9732" max="9732" width="16.6640625" style="103" bestFit="1" customWidth="1"/>
    <col min="9733" max="9734" width="18.5546875" style="103" customWidth="1"/>
    <col min="9735" max="9735" width="18.21875" style="103" customWidth="1"/>
    <col min="9736" max="9736" width="19.77734375" style="103" customWidth="1"/>
    <col min="9737" max="9738" width="27.77734375" style="103" customWidth="1"/>
    <col min="9739" max="9741" width="22.21875" style="103" customWidth="1"/>
    <col min="9742" max="9742" width="21.21875" style="103" customWidth="1"/>
    <col min="9743" max="9743" width="20.88671875" style="103" bestFit="1" customWidth="1"/>
    <col min="9744" max="9744" width="27.109375" style="103" customWidth="1"/>
    <col min="9745" max="9745" width="27.44140625" style="103" customWidth="1"/>
    <col min="9746" max="9746" width="21.44140625" style="103" customWidth="1"/>
    <col min="9747" max="9747" width="19.77734375" style="103" customWidth="1"/>
    <col min="9748" max="9750" width="18.5546875" style="103" customWidth="1"/>
    <col min="9751" max="9752" width="20.21875" style="103" customWidth="1"/>
    <col min="9753" max="9753" width="20.77734375" style="103" bestFit="1" customWidth="1"/>
    <col min="9754" max="9754" width="20.21875" style="103" customWidth="1"/>
    <col min="9755" max="9755" width="27" style="103" customWidth="1"/>
    <col min="9756" max="9756" width="19.44140625" style="103" bestFit="1" customWidth="1"/>
    <col min="9757" max="9757" width="26.44140625" style="103" customWidth="1"/>
    <col min="9758" max="9758" width="25.77734375" style="103" customWidth="1"/>
    <col min="9759" max="9759" width="24.44140625" style="103" customWidth="1"/>
    <col min="9760" max="9761" width="40.77734375" style="103" bestFit="1" customWidth="1"/>
    <col min="9762" max="9764" width="29.21875" style="103" customWidth="1"/>
    <col min="9765" max="9766" width="22.21875" style="103" bestFit="1" customWidth="1"/>
    <col min="9767" max="9767" width="24.21875" style="103" customWidth="1"/>
    <col min="9768" max="9984" width="9.21875" style="103"/>
    <col min="9985" max="9985" width="11.5546875" style="103" bestFit="1" customWidth="1"/>
    <col min="9986" max="9986" width="111.5546875" style="103" customWidth="1"/>
    <col min="9987" max="9987" width="15.21875" style="103" bestFit="1" customWidth="1"/>
    <col min="9988" max="9988" width="16.6640625" style="103" bestFit="1" customWidth="1"/>
    <col min="9989" max="9990" width="18.5546875" style="103" customWidth="1"/>
    <col min="9991" max="9991" width="18.21875" style="103" customWidth="1"/>
    <col min="9992" max="9992" width="19.77734375" style="103" customWidth="1"/>
    <col min="9993" max="9994" width="27.77734375" style="103" customWidth="1"/>
    <col min="9995" max="9997" width="22.21875" style="103" customWidth="1"/>
    <col min="9998" max="9998" width="21.21875" style="103" customWidth="1"/>
    <col min="9999" max="9999" width="20.88671875" style="103" bestFit="1" customWidth="1"/>
    <col min="10000" max="10000" width="27.109375" style="103" customWidth="1"/>
    <col min="10001" max="10001" width="27.44140625" style="103" customWidth="1"/>
    <col min="10002" max="10002" width="21.44140625" style="103" customWidth="1"/>
    <col min="10003" max="10003" width="19.77734375" style="103" customWidth="1"/>
    <col min="10004" max="10006" width="18.5546875" style="103" customWidth="1"/>
    <col min="10007" max="10008" width="20.21875" style="103" customWidth="1"/>
    <col min="10009" max="10009" width="20.77734375" style="103" bestFit="1" customWidth="1"/>
    <col min="10010" max="10010" width="20.21875" style="103" customWidth="1"/>
    <col min="10011" max="10011" width="27" style="103" customWidth="1"/>
    <col min="10012" max="10012" width="19.44140625" style="103" bestFit="1" customWidth="1"/>
    <col min="10013" max="10013" width="26.44140625" style="103" customWidth="1"/>
    <col min="10014" max="10014" width="25.77734375" style="103" customWidth="1"/>
    <col min="10015" max="10015" width="24.44140625" style="103" customWidth="1"/>
    <col min="10016" max="10017" width="40.77734375" style="103" bestFit="1" customWidth="1"/>
    <col min="10018" max="10020" width="29.21875" style="103" customWidth="1"/>
    <col min="10021" max="10022" width="22.21875" style="103" bestFit="1" customWidth="1"/>
    <col min="10023" max="10023" width="24.21875" style="103" customWidth="1"/>
    <col min="10024" max="10240" width="9.21875" style="103"/>
    <col min="10241" max="10241" width="11.5546875" style="103" bestFit="1" customWidth="1"/>
    <col min="10242" max="10242" width="111.5546875" style="103" customWidth="1"/>
    <col min="10243" max="10243" width="15.21875" style="103" bestFit="1" customWidth="1"/>
    <col min="10244" max="10244" width="16.6640625" style="103" bestFit="1" customWidth="1"/>
    <col min="10245" max="10246" width="18.5546875" style="103" customWidth="1"/>
    <col min="10247" max="10247" width="18.21875" style="103" customWidth="1"/>
    <col min="10248" max="10248" width="19.77734375" style="103" customWidth="1"/>
    <col min="10249" max="10250" width="27.77734375" style="103" customWidth="1"/>
    <col min="10251" max="10253" width="22.21875" style="103" customWidth="1"/>
    <col min="10254" max="10254" width="21.21875" style="103" customWidth="1"/>
    <col min="10255" max="10255" width="20.88671875" style="103" bestFit="1" customWidth="1"/>
    <col min="10256" max="10256" width="27.109375" style="103" customWidth="1"/>
    <col min="10257" max="10257" width="27.44140625" style="103" customWidth="1"/>
    <col min="10258" max="10258" width="21.44140625" style="103" customWidth="1"/>
    <col min="10259" max="10259" width="19.77734375" style="103" customWidth="1"/>
    <col min="10260" max="10262" width="18.5546875" style="103" customWidth="1"/>
    <col min="10263" max="10264" width="20.21875" style="103" customWidth="1"/>
    <col min="10265" max="10265" width="20.77734375" style="103" bestFit="1" customWidth="1"/>
    <col min="10266" max="10266" width="20.21875" style="103" customWidth="1"/>
    <col min="10267" max="10267" width="27" style="103" customWidth="1"/>
    <col min="10268" max="10268" width="19.44140625" style="103" bestFit="1" customWidth="1"/>
    <col min="10269" max="10269" width="26.44140625" style="103" customWidth="1"/>
    <col min="10270" max="10270" width="25.77734375" style="103" customWidth="1"/>
    <col min="10271" max="10271" width="24.44140625" style="103" customWidth="1"/>
    <col min="10272" max="10273" width="40.77734375" style="103" bestFit="1" customWidth="1"/>
    <col min="10274" max="10276" width="29.21875" style="103" customWidth="1"/>
    <col min="10277" max="10278" width="22.21875" style="103" bestFit="1" customWidth="1"/>
    <col min="10279" max="10279" width="24.21875" style="103" customWidth="1"/>
    <col min="10280" max="10496" width="9.21875" style="103"/>
    <col min="10497" max="10497" width="11.5546875" style="103" bestFit="1" customWidth="1"/>
    <col min="10498" max="10498" width="111.5546875" style="103" customWidth="1"/>
    <col min="10499" max="10499" width="15.21875" style="103" bestFit="1" customWidth="1"/>
    <col min="10500" max="10500" width="16.6640625" style="103" bestFit="1" customWidth="1"/>
    <col min="10501" max="10502" width="18.5546875" style="103" customWidth="1"/>
    <col min="10503" max="10503" width="18.21875" style="103" customWidth="1"/>
    <col min="10504" max="10504" width="19.77734375" style="103" customWidth="1"/>
    <col min="10505" max="10506" width="27.77734375" style="103" customWidth="1"/>
    <col min="10507" max="10509" width="22.21875" style="103" customWidth="1"/>
    <col min="10510" max="10510" width="21.21875" style="103" customWidth="1"/>
    <col min="10511" max="10511" width="20.88671875" style="103" bestFit="1" customWidth="1"/>
    <col min="10512" max="10512" width="27.109375" style="103" customWidth="1"/>
    <col min="10513" max="10513" width="27.44140625" style="103" customWidth="1"/>
    <col min="10514" max="10514" width="21.44140625" style="103" customWidth="1"/>
    <col min="10515" max="10515" width="19.77734375" style="103" customWidth="1"/>
    <col min="10516" max="10518" width="18.5546875" style="103" customWidth="1"/>
    <col min="10519" max="10520" width="20.21875" style="103" customWidth="1"/>
    <col min="10521" max="10521" width="20.77734375" style="103" bestFit="1" customWidth="1"/>
    <col min="10522" max="10522" width="20.21875" style="103" customWidth="1"/>
    <col min="10523" max="10523" width="27" style="103" customWidth="1"/>
    <col min="10524" max="10524" width="19.44140625" style="103" bestFit="1" customWidth="1"/>
    <col min="10525" max="10525" width="26.44140625" style="103" customWidth="1"/>
    <col min="10526" max="10526" width="25.77734375" style="103" customWidth="1"/>
    <col min="10527" max="10527" width="24.44140625" style="103" customWidth="1"/>
    <col min="10528" max="10529" width="40.77734375" style="103" bestFit="1" customWidth="1"/>
    <col min="10530" max="10532" width="29.21875" style="103" customWidth="1"/>
    <col min="10533" max="10534" width="22.21875" style="103" bestFit="1" customWidth="1"/>
    <col min="10535" max="10535" width="24.21875" style="103" customWidth="1"/>
    <col min="10536" max="10752" width="9.21875" style="103"/>
    <col min="10753" max="10753" width="11.5546875" style="103" bestFit="1" customWidth="1"/>
    <col min="10754" max="10754" width="111.5546875" style="103" customWidth="1"/>
    <col min="10755" max="10755" width="15.21875" style="103" bestFit="1" customWidth="1"/>
    <col min="10756" max="10756" width="16.6640625" style="103" bestFit="1" customWidth="1"/>
    <col min="10757" max="10758" width="18.5546875" style="103" customWidth="1"/>
    <col min="10759" max="10759" width="18.21875" style="103" customWidth="1"/>
    <col min="10760" max="10760" width="19.77734375" style="103" customWidth="1"/>
    <col min="10761" max="10762" width="27.77734375" style="103" customWidth="1"/>
    <col min="10763" max="10765" width="22.21875" style="103" customWidth="1"/>
    <col min="10766" max="10766" width="21.21875" style="103" customWidth="1"/>
    <col min="10767" max="10767" width="20.88671875" style="103" bestFit="1" customWidth="1"/>
    <col min="10768" max="10768" width="27.109375" style="103" customWidth="1"/>
    <col min="10769" max="10769" width="27.44140625" style="103" customWidth="1"/>
    <col min="10770" max="10770" width="21.44140625" style="103" customWidth="1"/>
    <col min="10771" max="10771" width="19.77734375" style="103" customWidth="1"/>
    <col min="10772" max="10774" width="18.5546875" style="103" customWidth="1"/>
    <col min="10775" max="10776" width="20.21875" style="103" customWidth="1"/>
    <col min="10777" max="10777" width="20.77734375" style="103" bestFit="1" customWidth="1"/>
    <col min="10778" max="10778" width="20.21875" style="103" customWidth="1"/>
    <col min="10779" max="10779" width="27" style="103" customWidth="1"/>
    <col min="10780" max="10780" width="19.44140625" style="103" bestFit="1" customWidth="1"/>
    <col min="10781" max="10781" width="26.44140625" style="103" customWidth="1"/>
    <col min="10782" max="10782" width="25.77734375" style="103" customWidth="1"/>
    <col min="10783" max="10783" width="24.44140625" style="103" customWidth="1"/>
    <col min="10784" max="10785" width="40.77734375" style="103" bestFit="1" customWidth="1"/>
    <col min="10786" max="10788" width="29.21875" style="103" customWidth="1"/>
    <col min="10789" max="10790" width="22.21875" style="103" bestFit="1" customWidth="1"/>
    <col min="10791" max="10791" width="24.21875" style="103" customWidth="1"/>
    <col min="10792" max="11008" width="9.21875" style="103"/>
    <col min="11009" max="11009" width="11.5546875" style="103" bestFit="1" customWidth="1"/>
    <col min="11010" max="11010" width="111.5546875" style="103" customWidth="1"/>
    <col min="11011" max="11011" width="15.21875" style="103" bestFit="1" customWidth="1"/>
    <col min="11012" max="11012" width="16.6640625" style="103" bestFit="1" customWidth="1"/>
    <col min="11013" max="11014" width="18.5546875" style="103" customWidth="1"/>
    <col min="11015" max="11015" width="18.21875" style="103" customWidth="1"/>
    <col min="11016" max="11016" width="19.77734375" style="103" customWidth="1"/>
    <col min="11017" max="11018" width="27.77734375" style="103" customWidth="1"/>
    <col min="11019" max="11021" width="22.21875" style="103" customWidth="1"/>
    <col min="11022" max="11022" width="21.21875" style="103" customWidth="1"/>
    <col min="11023" max="11023" width="20.88671875" style="103" bestFit="1" customWidth="1"/>
    <col min="11024" max="11024" width="27.109375" style="103" customWidth="1"/>
    <col min="11025" max="11025" width="27.44140625" style="103" customWidth="1"/>
    <col min="11026" max="11026" width="21.44140625" style="103" customWidth="1"/>
    <col min="11027" max="11027" width="19.77734375" style="103" customWidth="1"/>
    <col min="11028" max="11030" width="18.5546875" style="103" customWidth="1"/>
    <col min="11031" max="11032" width="20.21875" style="103" customWidth="1"/>
    <col min="11033" max="11033" width="20.77734375" style="103" bestFit="1" customWidth="1"/>
    <col min="11034" max="11034" width="20.21875" style="103" customWidth="1"/>
    <col min="11035" max="11035" width="27" style="103" customWidth="1"/>
    <col min="11036" max="11036" width="19.44140625" style="103" bestFit="1" customWidth="1"/>
    <col min="11037" max="11037" width="26.44140625" style="103" customWidth="1"/>
    <col min="11038" max="11038" width="25.77734375" style="103" customWidth="1"/>
    <col min="11039" max="11039" width="24.44140625" style="103" customWidth="1"/>
    <col min="11040" max="11041" width="40.77734375" style="103" bestFit="1" customWidth="1"/>
    <col min="11042" max="11044" width="29.21875" style="103" customWidth="1"/>
    <col min="11045" max="11046" width="22.21875" style="103" bestFit="1" customWidth="1"/>
    <col min="11047" max="11047" width="24.21875" style="103" customWidth="1"/>
    <col min="11048" max="11264" width="9.21875" style="103"/>
    <col min="11265" max="11265" width="11.5546875" style="103" bestFit="1" customWidth="1"/>
    <col min="11266" max="11266" width="111.5546875" style="103" customWidth="1"/>
    <col min="11267" max="11267" width="15.21875" style="103" bestFit="1" customWidth="1"/>
    <col min="11268" max="11268" width="16.6640625" style="103" bestFit="1" customWidth="1"/>
    <col min="11269" max="11270" width="18.5546875" style="103" customWidth="1"/>
    <col min="11271" max="11271" width="18.21875" style="103" customWidth="1"/>
    <col min="11272" max="11272" width="19.77734375" style="103" customWidth="1"/>
    <col min="11273" max="11274" width="27.77734375" style="103" customWidth="1"/>
    <col min="11275" max="11277" width="22.21875" style="103" customWidth="1"/>
    <col min="11278" max="11278" width="21.21875" style="103" customWidth="1"/>
    <col min="11279" max="11279" width="20.88671875" style="103" bestFit="1" customWidth="1"/>
    <col min="11280" max="11280" width="27.109375" style="103" customWidth="1"/>
    <col min="11281" max="11281" width="27.44140625" style="103" customWidth="1"/>
    <col min="11282" max="11282" width="21.44140625" style="103" customWidth="1"/>
    <col min="11283" max="11283" width="19.77734375" style="103" customWidth="1"/>
    <col min="11284" max="11286" width="18.5546875" style="103" customWidth="1"/>
    <col min="11287" max="11288" width="20.21875" style="103" customWidth="1"/>
    <col min="11289" max="11289" width="20.77734375" style="103" bestFit="1" customWidth="1"/>
    <col min="11290" max="11290" width="20.21875" style="103" customWidth="1"/>
    <col min="11291" max="11291" width="27" style="103" customWidth="1"/>
    <col min="11292" max="11292" width="19.44140625" style="103" bestFit="1" customWidth="1"/>
    <col min="11293" max="11293" width="26.44140625" style="103" customWidth="1"/>
    <col min="11294" max="11294" width="25.77734375" style="103" customWidth="1"/>
    <col min="11295" max="11295" width="24.44140625" style="103" customWidth="1"/>
    <col min="11296" max="11297" width="40.77734375" style="103" bestFit="1" customWidth="1"/>
    <col min="11298" max="11300" width="29.21875" style="103" customWidth="1"/>
    <col min="11301" max="11302" width="22.21875" style="103" bestFit="1" customWidth="1"/>
    <col min="11303" max="11303" width="24.21875" style="103" customWidth="1"/>
    <col min="11304" max="11520" width="9.21875" style="103"/>
    <col min="11521" max="11521" width="11.5546875" style="103" bestFit="1" customWidth="1"/>
    <col min="11522" max="11522" width="111.5546875" style="103" customWidth="1"/>
    <col min="11523" max="11523" width="15.21875" style="103" bestFit="1" customWidth="1"/>
    <col min="11524" max="11524" width="16.6640625" style="103" bestFit="1" customWidth="1"/>
    <col min="11525" max="11526" width="18.5546875" style="103" customWidth="1"/>
    <col min="11527" max="11527" width="18.21875" style="103" customWidth="1"/>
    <col min="11528" max="11528" width="19.77734375" style="103" customWidth="1"/>
    <col min="11529" max="11530" width="27.77734375" style="103" customWidth="1"/>
    <col min="11531" max="11533" width="22.21875" style="103" customWidth="1"/>
    <col min="11534" max="11534" width="21.21875" style="103" customWidth="1"/>
    <col min="11535" max="11535" width="20.88671875" style="103" bestFit="1" customWidth="1"/>
    <col min="11536" max="11536" width="27.109375" style="103" customWidth="1"/>
    <col min="11537" max="11537" width="27.44140625" style="103" customWidth="1"/>
    <col min="11538" max="11538" width="21.44140625" style="103" customWidth="1"/>
    <col min="11539" max="11539" width="19.77734375" style="103" customWidth="1"/>
    <col min="11540" max="11542" width="18.5546875" style="103" customWidth="1"/>
    <col min="11543" max="11544" width="20.21875" style="103" customWidth="1"/>
    <col min="11545" max="11545" width="20.77734375" style="103" bestFit="1" customWidth="1"/>
    <col min="11546" max="11546" width="20.21875" style="103" customWidth="1"/>
    <col min="11547" max="11547" width="27" style="103" customWidth="1"/>
    <col min="11548" max="11548" width="19.44140625" style="103" bestFit="1" customWidth="1"/>
    <col min="11549" max="11549" width="26.44140625" style="103" customWidth="1"/>
    <col min="11550" max="11550" width="25.77734375" style="103" customWidth="1"/>
    <col min="11551" max="11551" width="24.44140625" style="103" customWidth="1"/>
    <col min="11552" max="11553" width="40.77734375" style="103" bestFit="1" customWidth="1"/>
    <col min="11554" max="11556" width="29.21875" style="103" customWidth="1"/>
    <col min="11557" max="11558" width="22.21875" style="103" bestFit="1" customWidth="1"/>
    <col min="11559" max="11559" width="24.21875" style="103" customWidth="1"/>
    <col min="11560" max="11776" width="9.21875" style="103"/>
    <col min="11777" max="11777" width="11.5546875" style="103" bestFit="1" customWidth="1"/>
    <col min="11778" max="11778" width="111.5546875" style="103" customWidth="1"/>
    <col min="11779" max="11779" width="15.21875" style="103" bestFit="1" customWidth="1"/>
    <col min="11780" max="11780" width="16.6640625" style="103" bestFit="1" customWidth="1"/>
    <col min="11781" max="11782" width="18.5546875" style="103" customWidth="1"/>
    <col min="11783" max="11783" width="18.21875" style="103" customWidth="1"/>
    <col min="11784" max="11784" width="19.77734375" style="103" customWidth="1"/>
    <col min="11785" max="11786" width="27.77734375" style="103" customWidth="1"/>
    <col min="11787" max="11789" width="22.21875" style="103" customWidth="1"/>
    <col min="11790" max="11790" width="21.21875" style="103" customWidth="1"/>
    <col min="11791" max="11791" width="20.88671875" style="103" bestFit="1" customWidth="1"/>
    <col min="11792" max="11792" width="27.109375" style="103" customWidth="1"/>
    <col min="11793" max="11793" width="27.44140625" style="103" customWidth="1"/>
    <col min="11794" max="11794" width="21.44140625" style="103" customWidth="1"/>
    <col min="11795" max="11795" width="19.77734375" style="103" customWidth="1"/>
    <col min="11796" max="11798" width="18.5546875" style="103" customWidth="1"/>
    <col min="11799" max="11800" width="20.21875" style="103" customWidth="1"/>
    <col min="11801" max="11801" width="20.77734375" style="103" bestFit="1" customWidth="1"/>
    <col min="11802" max="11802" width="20.21875" style="103" customWidth="1"/>
    <col min="11803" max="11803" width="27" style="103" customWidth="1"/>
    <col min="11804" max="11804" width="19.44140625" style="103" bestFit="1" customWidth="1"/>
    <col min="11805" max="11805" width="26.44140625" style="103" customWidth="1"/>
    <col min="11806" max="11806" width="25.77734375" style="103" customWidth="1"/>
    <col min="11807" max="11807" width="24.44140625" style="103" customWidth="1"/>
    <col min="11808" max="11809" width="40.77734375" style="103" bestFit="1" customWidth="1"/>
    <col min="11810" max="11812" width="29.21875" style="103" customWidth="1"/>
    <col min="11813" max="11814" width="22.21875" style="103" bestFit="1" customWidth="1"/>
    <col min="11815" max="11815" width="24.21875" style="103" customWidth="1"/>
    <col min="11816" max="12032" width="9.21875" style="103"/>
    <col min="12033" max="12033" width="11.5546875" style="103" bestFit="1" customWidth="1"/>
    <col min="12034" max="12034" width="111.5546875" style="103" customWidth="1"/>
    <col min="12035" max="12035" width="15.21875" style="103" bestFit="1" customWidth="1"/>
    <col min="12036" max="12036" width="16.6640625" style="103" bestFit="1" customWidth="1"/>
    <col min="12037" max="12038" width="18.5546875" style="103" customWidth="1"/>
    <col min="12039" max="12039" width="18.21875" style="103" customWidth="1"/>
    <col min="12040" max="12040" width="19.77734375" style="103" customWidth="1"/>
    <col min="12041" max="12042" width="27.77734375" style="103" customWidth="1"/>
    <col min="12043" max="12045" width="22.21875" style="103" customWidth="1"/>
    <col min="12046" max="12046" width="21.21875" style="103" customWidth="1"/>
    <col min="12047" max="12047" width="20.88671875" style="103" bestFit="1" customWidth="1"/>
    <col min="12048" max="12048" width="27.109375" style="103" customWidth="1"/>
    <col min="12049" max="12049" width="27.44140625" style="103" customWidth="1"/>
    <col min="12050" max="12050" width="21.44140625" style="103" customWidth="1"/>
    <col min="12051" max="12051" width="19.77734375" style="103" customWidth="1"/>
    <col min="12052" max="12054" width="18.5546875" style="103" customWidth="1"/>
    <col min="12055" max="12056" width="20.21875" style="103" customWidth="1"/>
    <col min="12057" max="12057" width="20.77734375" style="103" bestFit="1" customWidth="1"/>
    <col min="12058" max="12058" width="20.21875" style="103" customWidth="1"/>
    <col min="12059" max="12059" width="27" style="103" customWidth="1"/>
    <col min="12060" max="12060" width="19.44140625" style="103" bestFit="1" customWidth="1"/>
    <col min="12061" max="12061" width="26.44140625" style="103" customWidth="1"/>
    <col min="12062" max="12062" width="25.77734375" style="103" customWidth="1"/>
    <col min="12063" max="12063" width="24.44140625" style="103" customWidth="1"/>
    <col min="12064" max="12065" width="40.77734375" style="103" bestFit="1" customWidth="1"/>
    <col min="12066" max="12068" width="29.21875" style="103" customWidth="1"/>
    <col min="12069" max="12070" width="22.21875" style="103" bestFit="1" customWidth="1"/>
    <col min="12071" max="12071" width="24.21875" style="103" customWidth="1"/>
    <col min="12072" max="12288" width="9.21875" style="103"/>
    <col min="12289" max="12289" width="11.5546875" style="103" bestFit="1" customWidth="1"/>
    <col min="12290" max="12290" width="111.5546875" style="103" customWidth="1"/>
    <col min="12291" max="12291" width="15.21875" style="103" bestFit="1" customWidth="1"/>
    <col min="12292" max="12292" width="16.6640625" style="103" bestFit="1" customWidth="1"/>
    <col min="12293" max="12294" width="18.5546875" style="103" customWidth="1"/>
    <col min="12295" max="12295" width="18.21875" style="103" customWidth="1"/>
    <col min="12296" max="12296" width="19.77734375" style="103" customWidth="1"/>
    <col min="12297" max="12298" width="27.77734375" style="103" customWidth="1"/>
    <col min="12299" max="12301" width="22.21875" style="103" customWidth="1"/>
    <col min="12302" max="12302" width="21.21875" style="103" customWidth="1"/>
    <col min="12303" max="12303" width="20.88671875" style="103" bestFit="1" customWidth="1"/>
    <col min="12304" max="12304" width="27.109375" style="103" customWidth="1"/>
    <col min="12305" max="12305" width="27.44140625" style="103" customWidth="1"/>
    <col min="12306" max="12306" width="21.44140625" style="103" customWidth="1"/>
    <col min="12307" max="12307" width="19.77734375" style="103" customWidth="1"/>
    <col min="12308" max="12310" width="18.5546875" style="103" customWidth="1"/>
    <col min="12311" max="12312" width="20.21875" style="103" customWidth="1"/>
    <col min="12313" max="12313" width="20.77734375" style="103" bestFit="1" customWidth="1"/>
    <col min="12314" max="12314" width="20.21875" style="103" customWidth="1"/>
    <col min="12315" max="12315" width="27" style="103" customWidth="1"/>
    <col min="12316" max="12316" width="19.44140625" style="103" bestFit="1" customWidth="1"/>
    <col min="12317" max="12317" width="26.44140625" style="103" customWidth="1"/>
    <col min="12318" max="12318" width="25.77734375" style="103" customWidth="1"/>
    <col min="12319" max="12319" width="24.44140625" style="103" customWidth="1"/>
    <col min="12320" max="12321" width="40.77734375" style="103" bestFit="1" customWidth="1"/>
    <col min="12322" max="12324" width="29.21875" style="103" customWidth="1"/>
    <col min="12325" max="12326" width="22.21875" style="103" bestFit="1" customWidth="1"/>
    <col min="12327" max="12327" width="24.21875" style="103" customWidth="1"/>
    <col min="12328" max="12544" width="9.21875" style="103"/>
    <col min="12545" max="12545" width="11.5546875" style="103" bestFit="1" customWidth="1"/>
    <col min="12546" max="12546" width="111.5546875" style="103" customWidth="1"/>
    <col min="12547" max="12547" width="15.21875" style="103" bestFit="1" customWidth="1"/>
    <col min="12548" max="12548" width="16.6640625" style="103" bestFit="1" customWidth="1"/>
    <col min="12549" max="12550" width="18.5546875" style="103" customWidth="1"/>
    <col min="12551" max="12551" width="18.21875" style="103" customWidth="1"/>
    <col min="12552" max="12552" width="19.77734375" style="103" customWidth="1"/>
    <col min="12553" max="12554" width="27.77734375" style="103" customWidth="1"/>
    <col min="12555" max="12557" width="22.21875" style="103" customWidth="1"/>
    <col min="12558" max="12558" width="21.21875" style="103" customWidth="1"/>
    <col min="12559" max="12559" width="20.88671875" style="103" bestFit="1" customWidth="1"/>
    <col min="12560" max="12560" width="27.109375" style="103" customWidth="1"/>
    <col min="12561" max="12561" width="27.44140625" style="103" customWidth="1"/>
    <col min="12562" max="12562" width="21.44140625" style="103" customWidth="1"/>
    <col min="12563" max="12563" width="19.77734375" style="103" customWidth="1"/>
    <col min="12564" max="12566" width="18.5546875" style="103" customWidth="1"/>
    <col min="12567" max="12568" width="20.21875" style="103" customWidth="1"/>
    <col min="12569" max="12569" width="20.77734375" style="103" bestFit="1" customWidth="1"/>
    <col min="12570" max="12570" width="20.21875" style="103" customWidth="1"/>
    <col min="12571" max="12571" width="27" style="103" customWidth="1"/>
    <col min="12572" max="12572" width="19.44140625" style="103" bestFit="1" customWidth="1"/>
    <col min="12573" max="12573" width="26.44140625" style="103" customWidth="1"/>
    <col min="12574" max="12574" width="25.77734375" style="103" customWidth="1"/>
    <col min="12575" max="12575" width="24.44140625" style="103" customWidth="1"/>
    <col min="12576" max="12577" width="40.77734375" style="103" bestFit="1" customWidth="1"/>
    <col min="12578" max="12580" width="29.21875" style="103" customWidth="1"/>
    <col min="12581" max="12582" width="22.21875" style="103" bestFit="1" customWidth="1"/>
    <col min="12583" max="12583" width="24.21875" style="103" customWidth="1"/>
    <col min="12584" max="12800" width="9.21875" style="103"/>
    <col min="12801" max="12801" width="11.5546875" style="103" bestFit="1" customWidth="1"/>
    <col min="12802" max="12802" width="111.5546875" style="103" customWidth="1"/>
    <col min="12803" max="12803" width="15.21875" style="103" bestFit="1" customWidth="1"/>
    <col min="12804" max="12804" width="16.6640625" style="103" bestFit="1" customWidth="1"/>
    <col min="12805" max="12806" width="18.5546875" style="103" customWidth="1"/>
    <col min="12807" max="12807" width="18.21875" style="103" customWidth="1"/>
    <col min="12808" max="12808" width="19.77734375" style="103" customWidth="1"/>
    <col min="12809" max="12810" width="27.77734375" style="103" customWidth="1"/>
    <col min="12811" max="12813" width="22.21875" style="103" customWidth="1"/>
    <col min="12814" max="12814" width="21.21875" style="103" customWidth="1"/>
    <col min="12815" max="12815" width="20.88671875" style="103" bestFit="1" customWidth="1"/>
    <col min="12816" max="12816" width="27.109375" style="103" customWidth="1"/>
    <col min="12817" max="12817" width="27.44140625" style="103" customWidth="1"/>
    <col min="12818" max="12818" width="21.44140625" style="103" customWidth="1"/>
    <col min="12819" max="12819" width="19.77734375" style="103" customWidth="1"/>
    <col min="12820" max="12822" width="18.5546875" style="103" customWidth="1"/>
    <col min="12823" max="12824" width="20.21875" style="103" customWidth="1"/>
    <col min="12825" max="12825" width="20.77734375" style="103" bestFit="1" customWidth="1"/>
    <col min="12826" max="12826" width="20.21875" style="103" customWidth="1"/>
    <col min="12827" max="12827" width="27" style="103" customWidth="1"/>
    <col min="12828" max="12828" width="19.44140625" style="103" bestFit="1" customWidth="1"/>
    <col min="12829" max="12829" width="26.44140625" style="103" customWidth="1"/>
    <col min="12830" max="12830" width="25.77734375" style="103" customWidth="1"/>
    <col min="12831" max="12831" width="24.44140625" style="103" customWidth="1"/>
    <col min="12832" max="12833" width="40.77734375" style="103" bestFit="1" customWidth="1"/>
    <col min="12834" max="12836" width="29.21875" style="103" customWidth="1"/>
    <col min="12837" max="12838" width="22.21875" style="103" bestFit="1" customWidth="1"/>
    <col min="12839" max="12839" width="24.21875" style="103" customWidth="1"/>
    <col min="12840" max="13056" width="9.21875" style="103"/>
    <col min="13057" max="13057" width="11.5546875" style="103" bestFit="1" customWidth="1"/>
    <col min="13058" max="13058" width="111.5546875" style="103" customWidth="1"/>
    <col min="13059" max="13059" width="15.21875" style="103" bestFit="1" customWidth="1"/>
    <col min="13060" max="13060" width="16.6640625" style="103" bestFit="1" customWidth="1"/>
    <col min="13061" max="13062" width="18.5546875" style="103" customWidth="1"/>
    <col min="13063" max="13063" width="18.21875" style="103" customWidth="1"/>
    <col min="13064" max="13064" width="19.77734375" style="103" customWidth="1"/>
    <col min="13065" max="13066" width="27.77734375" style="103" customWidth="1"/>
    <col min="13067" max="13069" width="22.21875" style="103" customWidth="1"/>
    <col min="13070" max="13070" width="21.21875" style="103" customWidth="1"/>
    <col min="13071" max="13071" width="20.88671875" style="103" bestFit="1" customWidth="1"/>
    <col min="13072" max="13072" width="27.109375" style="103" customWidth="1"/>
    <col min="13073" max="13073" width="27.44140625" style="103" customWidth="1"/>
    <col min="13074" max="13074" width="21.44140625" style="103" customWidth="1"/>
    <col min="13075" max="13075" width="19.77734375" style="103" customWidth="1"/>
    <col min="13076" max="13078" width="18.5546875" style="103" customWidth="1"/>
    <col min="13079" max="13080" width="20.21875" style="103" customWidth="1"/>
    <col min="13081" max="13081" width="20.77734375" style="103" bestFit="1" customWidth="1"/>
    <col min="13082" max="13082" width="20.21875" style="103" customWidth="1"/>
    <col min="13083" max="13083" width="27" style="103" customWidth="1"/>
    <col min="13084" max="13084" width="19.44140625" style="103" bestFit="1" customWidth="1"/>
    <col min="13085" max="13085" width="26.44140625" style="103" customWidth="1"/>
    <col min="13086" max="13086" width="25.77734375" style="103" customWidth="1"/>
    <col min="13087" max="13087" width="24.44140625" style="103" customWidth="1"/>
    <col min="13088" max="13089" width="40.77734375" style="103" bestFit="1" customWidth="1"/>
    <col min="13090" max="13092" width="29.21875" style="103" customWidth="1"/>
    <col min="13093" max="13094" width="22.21875" style="103" bestFit="1" customWidth="1"/>
    <col min="13095" max="13095" width="24.21875" style="103" customWidth="1"/>
    <col min="13096" max="13312" width="9.21875" style="103"/>
    <col min="13313" max="13313" width="11.5546875" style="103" bestFit="1" customWidth="1"/>
    <col min="13314" max="13314" width="111.5546875" style="103" customWidth="1"/>
    <col min="13315" max="13315" width="15.21875" style="103" bestFit="1" customWidth="1"/>
    <col min="13316" max="13316" width="16.6640625" style="103" bestFit="1" customWidth="1"/>
    <col min="13317" max="13318" width="18.5546875" style="103" customWidth="1"/>
    <col min="13319" max="13319" width="18.21875" style="103" customWidth="1"/>
    <col min="13320" max="13320" width="19.77734375" style="103" customWidth="1"/>
    <col min="13321" max="13322" width="27.77734375" style="103" customWidth="1"/>
    <col min="13323" max="13325" width="22.21875" style="103" customWidth="1"/>
    <col min="13326" max="13326" width="21.21875" style="103" customWidth="1"/>
    <col min="13327" max="13327" width="20.88671875" style="103" bestFit="1" customWidth="1"/>
    <col min="13328" max="13328" width="27.109375" style="103" customWidth="1"/>
    <col min="13329" max="13329" width="27.44140625" style="103" customWidth="1"/>
    <col min="13330" max="13330" width="21.44140625" style="103" customWidth="1"/>
    <col min="13331" max="13331" width="19.77734375" style="103" customWidth="1"/>
    <col min="13332" max="13334" width="18.5546875" style="103" customWidth="1"/>
    <col min="13335" max="13336" width="20.21875" style="103" customWidth="1"/>
    <col min="13337" max="13337" width="20.77734375" style="103" bestFit="1" customWidth="1"/>
    <col min="13338" max="13338" width="20.21875" style="103" customWidth="1"/>
    <col min="13339" max="13339" width="27" style="103" customWidth="1"/>
    <col min="13340" max="13340" width="19.44140625" style="103" bestFit="1" customWidth="1"/>
    <col min="13341" max="13341" width="26.44140625" style="103" customWidth="1"/>
    <col min="13342" max="13342" width="25.77734375" style="103" customWidth="1"/>
    <col min="13343" max="13343" width="24.44140625" style="103" customWidth="1"/>
    <col min="13344" max="13345" width="40.77734375" style="103" bestFit="1" customWidth="1"/>
    <col min="13346" max="13348" width="29.21875" style="103" customWidth="1"/>
    <col min="13349" max="13350" width="22.21875" style="103" bestFit="1" customWidth="1"/>
    <col min="13351" max="13351" width="24.21875" style="103" customWidth="1"/>
    <col min="13352" max="13568" width="9.21875" style="103"/>
    <col min="13569" max="13569" width="11.5546875" style="103" bestFit="1" customWidth="1"/>
    <col min="13570" max="13570" width="111.5546875" style="103" customWidth="1"/>
    <col min="13571" max="13571" width="15.21875" style="103" bestFit="1" customWidth="1"/>
    <col min="13572" max="13572" width="16.6640625" style="103" bestFit="1" customWidth="1"/>
    <col min="13573" max="13574" width="18.5546875" style="103" customWidth="1"/>
    <col min="13575" max="13575" width="18.21875" style="103" customWidth="1"/>
    <col min="13576" max="13576" width="19.77734375" style="103" customWidth="1"/>
    <col min="13577" max="13578" width="27.77734375" style="103" customWidth="1"/>
    <col min="13579" max="13581" width="22.21875" style="103" customWidth="1"/>
    <col min="13582" max="13582" width="21.21875" style="103" customWidth="1"/>
    <col min="13583" max="13583" width="20.88671875" style="103" bestFit="1" customWidth="1"/>
    <col min="13584" max="13584" width="27.109375" style="103" customWidth="1"/>
    <col min="13585" max="13585" width="27.44140625" style="103" customWidth="1"/>
    <col min="13586" max="13586" width="21.44140625" style="103" customWidth="1"/>
    <col min="13587" max="13587" width="19.77734375" style="103" customWidth="1"/>
    <col min="13588" max="13590" width="18.5546875" style="103" customWidth="1"/>
    <col min="13591" max="13592" width="20.21875" style="103" customWidth="1"/>
    <col min="13593" max="13593" width="20.77734375" style="103" bestFit="1" customWidth="1"/>
    <col min="13594" max="13594" width="20.21875" style="103" customWidth="1"/>
    <col min="13595" max="13595" width="27" style="103" customWidth="1"/>
    <col min="13596" max="13596" width="19.44140625" style="103" bestFit="1" customWidth="1"/>
    <col min="13597" max="13597" width="26.44140625" style="103" customWidth="1"/>
    <col min="13598" max="13598" width="25.77734375" style="103" customWidth="1"/>
    <col min="13599" max="13599" width="24.44140625" style="103" customWidth="1"/>
    <col min="13600" max="13601" width="40.77734375" style="103" bestFit="1" customWidth="1"/>
    <col min="13602" max="13604" width="29.21875" style="103" customWidth="1"/>
    <col min="13605" max="13606" width="22.21875" style="103" bestFit="1" customWidth="1"/>
    <col min="13607" max="13607" width="24.21875" style="103" customWidth="1"/>
    <col min="13608" max="13824" width="9.21875" style="103"/>
    <col min="13825" max="13825" width="11.5546875" style="103" bestFit="1" customWidth="1"/>
    <col min="13826" max="13826" width="111.5546875" style="103" customWidth="1"/>
    <col min="13827" max="13827" width="15.21875" style="103" bestFit="1" customWidth="1"/>
    <col min="13828" max="13828" width="16.6640625" style="103" bestFit="1" customWidth="1"/>
    <col min="13829" max="13830" width="18.5546875" style="103" customWidth="1"/>
    <col min="13831" max="13831" width="18.21875" style="103" customWidth="1"/>
    <col min="13832" max="13832" width="19.77734375" style="103" customWidth="1"/>
    <col min="13833" max="13834" width="27.77734375" style="103" customWidth="1"/>
    <col min="13835" max="13837" width="22.21875" style="103" customWidth="1"/>
    <col min="13838" max="13838" width="21.21875" style="103" customWidth="1"/>
    <col min="13839" max="13839" width="20.88671875" style="103" bestFit="1" customWidth="1"/>
    <col min="13840" max="13840" width="27.109375" style="103" customWidth="1"/>
    <col min="13841" max="13841" width="27.44140625" style="103" customWidth="1"/>
    <col min="13842" max="13842" width="21.44140625" style="103" customWidth="1"/>
    <col min="13843" max="13843" width="19.77734375" style="103" customWidth="1"/>
    <col min="13844" max="13846" width="18.5546875" style="103" customWidth="1"/>
    <col min="13847" max="13848" width="20.21875" style="103" customWidth="1"/>
    <col min="13849" max="13849" width="20.77734375" style="103" bestFit="1" customWidth="1"/>
    <col min="13850" max="13850" width="20.21875" style="103" customWidth="1"/>
    <col min="13851" max="13851" width="27" style="103" customWidth="1"/>
    <col min="13852" max="13852" width="19.44140625" style="103" bestFit="1" customWidth="1"/>
    <col min="13853" max="13853" width="26.44140625" style="103" customWidth="1"/>
    <col min="13854" max="13854" width="25.77734375" style="103" customWidth="1"/>
    <col min="13855" max="13855" width="24.44140625" style="103" customWidth="1"/>
    <col min="13856" max="13857" width="40.77734375" style="103" bestFit="1" customWidth="1"/>
    <col min="13858" max="13860" width="29.21875" style="103" customWidth="1"/>
    <col min="13861" max="13862" width="22.21875" style="103" bestFit="1" customWidth="1"/>
    <col min="13863" max="13863" width="24.21875" style="103" customWidth="1"/>
    <col min="13864" max="14080" width="9.21875" style="103"/>
    <col min="14081" max="14081" width="11.5546875" style="103" bestFit="1" customWidth="1"/>
    <col min="14082" max="14082" width="111.5546875" style="103" customWidth="1"/>
    <col min="14083" max="14083" width="15.21875" style="103" bestFit="1" customWidth="1"/>
    <col min="14084" max="14084" width="16.6640625" style="103" bestFit="1" customWidth="1"/>
    <col min="14085" max="14086" width="18.5546875" style="103" customWidth="1"/>
    <col min="14087" max="14087" width="18.21875" style="103" customWidth="1"/>
    <col min="14088" max="14088" width="19.77734375" style="103" customWidth="1"/>
    <col min="14089" max="14090" width="27.77734375" style="103" customWidth="1"/>
    <col min="14091" max="14093" width="22.21875" style="103" customWidth="1"/>
    <col min="14094" max="14094" width="21.21875" style="103" customWidth="1"/>
    <col min="14095" max="14095" width="20.88671875" style="103" bestFit="1" customWidth="1"/>
    <col min="14096" max="14096" width="27.109375" style="103" customWidth="1"/>
    <col min="14097" max="14097" width="27.44140625" style="103" customWidth="1"/>
    <col min="14098" max="14098" width="21.44140625" style="103" customWidth="1"/>
    <col min="14099" max="14099" width="19.77734375" style="103" customWidth="1"/>
    <col min="14100" max="14102" width="18.5546875" style="103" customWidth="1"/>
    <col min="14103" max="14104" width="20.21875" style="103" customWidth="1"/>
    <col min="14105" max="14105" width="20.77734375" style="103" bestFit="1" customWidth="1"/>
    <col min="14106" max="14106" width="20.21875" style="103" customWidth="1"/>
    <col min="14107" max="14107" width="27" style="103" customWidth="1"/>
    <col min="14108" max="14108" width="19.44140625" style="103" bestFit="1" customWidth="1"/>
    <col min="14109" max="14109" width="26.44140625" style="103" customWidth="1"/>
    <col min="14110" max="14110" width="25.77734375" style="103" customWidth="1"/>
    <col min="14111" max="14111" width="24.44140625" style="103" customWidth="1"/>
    <col min="14112" max="14113" width="40.77734375" style="103" bestFit="1" customWidth="1"/>
    <col min="14114" max="14116" width="29.21875" style="103" customWidth="1"/>
    <col min="14117" max="14118" width="22.21875" style="103" bestFit="1" customWidth="1"/>
    <col min="14119" max="14119" width="24.21875" style="103" customWidth="1"/>
    <col min="14120" max="14336" width="9.21875" style="103"/>
    <col min="14337" max="14337" width="11.5546875" style="103" bestFit="1" customWidth="1"/>
    <col min="14338" max="14338" width="111.5546875" style="103" customWidth="1"/>
    <col min="14339" max="14339" width="15.21875" style="103" bestFit="1" customWidth="1"/>
    <col min="14340" max="14340" width="16.6640625" style="103" bestFit="1" customWidth="1"/>
    <col min="14341" max="14342" width="18.5546875" style="103" customWidth="1"/>
    <col min="14343" max="14343" width="18.21875" style="103" customWidth="1"/>
    <col min="14344" max="14344" width="19.77734375" style="103" customWidth="1"/>
    <col min="14345" max="14346" width="27.77734375" style="103" customWidth="1"/>
    <col min="14347" max="14349" width="22.21875" style="103" customWidth="1"/>
    <col min="14350" max="14350" width="21.21875" style="103" customWidth="1"/>
    <col min="14351" max="14351" width="20.88671875" style="103" bestFit="1" customWidth="1"/>
    <col min="14352" max="14352" width="27.109375" style="103" customWidth="1"/>
    <col min="14353" max="14353" width="27.44140625" style="103" customWidth="1"/>
    <col min="14354" max="14354" width="21.44140625" style="103" customWidth="1"/>
    <col min="14355" max="14355" width="19.77734375" style="103" customWidth="1"/>
    <col min="14356" max="14358" width="18.5546875" style="103" customWidth="1"/>
    <col min="14359" max="14360" width="20.21875" style="103" customWidth="1"/>
    <col min="14361" max="14361" width="20.77734375" style="103" bestFit="1" customWidth="1"/>
    <col min="14362" max="14362" width="20.21875" style="103" customWidth="1"/>
    <col min="14363" max="14363" width="27" style="103" customWidth="1"/>
    <col min="14364" max="14364" width="19.44140625" style="103" bestFit="1" customWidth="1"/>
    <col min="14365" max="14365" width="26.44140625" style="103" customWidth="1"/>
    <col min="14366" max="14366" width="25.77734375" style="103" customWidth="1"/>
    <col min="14367" max="14367" width="24.44140625" style="103" customWidth="1"/>
    <col min="14368" max="14369" width="40.77734375" style="103" bestFit="1" customWidth="1"/>
    <col min="14370" max="14372" width="29.21875" style="103" customWidth="1"/>
    <col min="14373" max="14374" width="22.21875" style="103" bestFit="1" customWidth="1"/>
    <col min="14375" max="14375" width="24.21875" style="103" customWidth="1"/>
    <col min="14376" max="14592" width="9.21875" style="103"/>
    <col min="14593" max="14593" width="11.5546875" style="103" bestFit="1" customWidth="1"/>
    <col min="14594" max="14594" width="111.5546875" style="103" customWidth="1"/>
    <col min="14595" max="14595" width="15.21875" style="103" bestFit="1" customWidth="1"/>
    <col min="14596" max="14596" width="16.6640625" style="103" bestFit="1" customWidth="1"/>
    <col min="14597" max="14598" width="18.5546875" style="103" customWidth="1"/>
    <col min="14599" max="14599" width="18.21875" style="103" customWidth="1"/>
    <col min="14600" max="14600" width="19.77734375" style="103" customWidth="1"/>
    <col min="14601" max="14602" width="27.77734375" style="103" customWidth="1"/>
    <col min="14603" max="14605" width="22.21875" style="103" customWidth="1"/>
    <col min="14606" max="14606" width="21.21875" style="103" customWidth="1"/>
    <col min="14607" max="14607" width="20.88671875" style="103" bestFit="1" customWidth="1"/>
    <col min="14608" max="14608" width="27.109375" style="103" customWidth="1"/>
    <col min="14609" max="14609" width="27.44140625" style="103" customWidth="1"/>
    <col min="14610" max="14610" width="21.44140625" style="103" customWidth="1"/>
    <col min="14611" max="14611" width="19.77734375" style="103" customWidth="1"/>
    <col min="14612" max="14614" width="18.5546875" style="103" customWidth="1"/>
    <col min="14615" max="14616" width="20.21875" style="103" customWidth="1"/>
    <col min="14617" max="14617" width="20.77734375" style="103" bestFit="1" customWidth="1"/>
    <col min="14618" max="14618" width="20.21875" style="103" customWidth="1"/>
    <col min="14619" max="14619" width="27" style="103" customWidth="1"/>
    <col min="14620" max="14620" width="19.44140625" style="103" bestFit="1" customWidth="1"/>
    <col min="14621" max="14621" width="26.44140625" style="103" customWidth="1"/>
    <col min="14622" max="14622" width="25.77734375" style="103" customWidth="1"/>
    <col min="14623" max="14623" width="24.44140625" style="103" customWidth="1"/>
    <col min="14624" max="14625" width="40.77734375" style="103" bestFit="1" customWidth="1"/>
    <col min="14626" max="14628" width="29.21875" style="103" customWidth="1"/>
    <col min="14629" max="14630" width="22.21875" style="103" bestFit="1" customWidth="1"/>
    <col min="14631" max="14631" width="24.21875" style="103" customWidth="1"/>
    <col min="14632" max="14848" width="9.21875" style="103"/>
    <col min="14849" max="14849" width="11.5546875" style="103" bestFit="1" customWidth="1"/>
    <col min="14850" max="14850" width="111.5546875" style="103" customWidth="1"/>
    <col min="14851" max="14851" width="15.21875" style="103" bestFit="1" customWidth="1"/>
    <col min="14852" max="14852" width="16.6640625" style="103" bestFit="1" customWidth="1"/>
    <col min="14853" max="14854" width="18.5546875" style="103" customWidth="1"/>
    <col min="14855" max="14855" width="18.21875" style="103" customWidth="1"/>
    <col min="14856" max="14856" width="19.77734375" style="103" customWidth="1"/>
    <col min="14857" max="14858" width="27.77734375" style="103" customWidth="1"/>
    <col min="14859" max="14861" width="22.21875" style="103" customWidth="1"/>
    <col min="14862" max="14862" width="21.21875" style="103" customWidth="1"/>
    <col min="14863" max="14863" width="20.88671875" style="103" bestFit="1" customWidth="1"/>
    <col min="14864" max="14864" width="27.109375" style="103" customWidth="1"/>
    <col min="14865" max="14865" width="27.44140625" style="103" customWidth="1"/>
    <col min="14866" max="14866" width="21.44140625" style="103" customWidth="1"/>
    <col min="14867" max="14867" width="19.77734375" style="103" customWidth="1"/>
    <col min="14868" max="14870" width="18.5546875" style="103" customWidth="1"/>
    <col min="14871" max="14872" width="20.21875" style="103" customWidth="1"/>
    <col min="14873" max="14873" width="20.77734375" style="103" bestFit="1" customWidth="1"/>
    <col min="14874" max="14874" width="20.21875" style="103" customWidth="1"/>
    <col min="14875" max="14875" width="27" style="103" customWidth="1"/>
    <col min="14876" max="14876" width="19.44140625" style="103" bestFit="1" customWidth="1"/>
    <col min="14877" max="14877" width="26.44140625" style="103" customWidth="1"/>
    <col min="14878" max="14878" width="25.77734375" style="103" customWidth="1"/>
    <col min="14879" max="14879" width="24.44140625" style="103" customWidth="1"/>
    <col min="14880" max="14881" width="40.77734375" style="103" bestFit="1" customWidth="1"/>
    <col min="14882" max="14884" width="29.21875" style="103" customWidth="1"/>
    <col min="14885" max="14886" width="22.21875" style="103" bestFit="1" customWidth="1"/>
    <col min="14887" max="14887" width="24.21875" style="103" customWidth="1"/>
    <col min="14888" max="15104" width="9.21875" style="103"/>
    <col min="15105" max="15105" width="11.5546875" style="103" bestFit="1" customWidth="1"/>
    <col min="15106" max="15106" width="111.5546875" style="103" customWidth="1"/>
    <col min="15107" max="15107" width="15.21875" style="103" bestFit="1" customWidth="1"/>
    <col min="15108" max="15108" width="16.6640625" style="103" bestFit="1" customWidth="1"/>
    <col min="15109" max="15110" width="18.5546875" style="103" customWidth="1"/>
    <col min="15111" max="15111" width="18.21875" style="103" customWidth="1"/>
    <col min="15112" max="15112" width="19.77734375" style="103" customWidth="1"/>
    <col min="15113" max="15114" width="27.77734375" style="103" customWidth="1"/>
    <col min="15115" max="15117" width="22.21875" style="103" customWidth="1"/>
    <col min="15118" max="15118" width="21.21875" style="103" customWidth="1"/>
    <col min="15119" max="15119" width="20.88671875" style="103" bestFit="1" customWidth="1"/>
    <col min="15120" max="15120" width="27.109375" style="103" customWidth="1"/>
    <col min="15121" max="15121" width="27.44140625" style="103" customWidth="1"/>
    <col min="15122" max="15122" width="21.44140625" style="103" customWidth="1"/>
    <col min="15123" max="15123" width="19.77734375" style="103" customWidth="1"/>
    <col min="15124" max="15126" width="18.5546875" style="103" customWidth="1"/>
    <col min="15127" max="15128" width="20.21875" style="103" customWidth="1"/>
    <col min="15129" max="15129" width="20.77734375" style="103" bestFit="1" customWidth="1"/>
    <col min="15130" max="15130" width="20.21875" style="103" customWidth="1"/>
    <col min="15131" max="15131" width="27" style="103" customWidth="1"/>
    <col min="15132" max="15132" width="19.44140625" style="103" bestFit="1" customWidth="1"/>
    <col min="15133" max="15133" width="26.44140625" style="103" customWidth="1"/>
    <col min="15134" max="15134" width="25.77734375" style="103" customWidth="1"/>
    <col min="15135" max="15135" width="24.44140625" style="103" customWidth="1"/>
    <col min="15136" max="15137" width="40.77734375" style="103" bestFit="1" customWidth="1"/>
    <col min="15138" max="15140" width="29.21875" style="103" customWidth="1"/>
    <col min="15141" max="15142" width="22.21875" style="103" bestFit="1" customWidth="1"/>
    <col min="15143" max="15143" width="24.21875" style="103" customWidth="1"/>
    <col min="15144" max="15360" width="9.21875" style="103"/>
    <col min="15361" max="15361" width="11.5546875" style="103" bestFit="1" customWidth="1"/>
    <col min="15362" max="15362" width="111.5546875" style="103" customWidth="1"/>
    <col min="15363" max="15363" width="15.21875" style="103" bestFit="1" customWidth="1"/>
    <col min="15364" max="15364" width="16.6640625" style="103" bestFit="1" customWidth="1"/>
    <col min="15365" max="15366" width="18.5546875" style="103" customWidth="1"/>
    <col min="15367" max="15367" width="18.21875" style="103" customWidth="1"/>
    <col min="15368" max="15368" width="19.77734375" style="103" customWidth="1"/>
    <col min="15369" max="15370" width="27.77734375" style="103" customWidth="1"/>
    <col min="15371" max="15373" width="22.21875" style="103" customWidth="1"/>
    <col min="15374" max="15374" width="21.21875" style="103" customWidth="1"/>
    <col min="15375" max="15375" width="20.88671875" style="103" bestFit="1" customWidth="1"/>
    <col min="15376" max="15376" width="27.109375" style="103" customWidth="1"/>
    <col min="15377" max="15377" width="27.44140625" style="103" customWidth="1"/>
    <col min="15378" max="15378" width="21.44140625" style="103" customWidth="1"/>
    <col min="15379" max="15379" width="19.77734375" style="103" customWidth="1"/>
    <col min="15380" max="15382" width="18.5546875" style="103" customWidth="1"/>
    <col min="15383" max="15384" width="20.21875" style="103" customWidth="1"/>
    <col min="15385" max="15385" width="20.77734375" style="103" bestFit="1" customWidth="1"/>
    <col min="15386" max="15386" width="20.21875" style="103" customWidth="1"/>
    <col min="15387" max="15387" width="27" style="103" customWidth="1"/>
    <col min="15388" max="15388" width="19.44140625" style="103" bestFit="1" customWidth="1"/>
    <col min="15389" max="15389" width="26.44140625" style="103" customWidth="1"/>
    <col min="15390" max="15390" width="25.77734375" style="103" customWidth="1"/>
    <col min="15391" max="15391" width="24.44140625" style="103" customWidth="1"/>
    <col min="15392" max="15393" width="40.77734375" style="103" bestFit="1" customWidth="1"/>
    <col min="15394" max="15396" width="29.21875" style="103" customWidth="1"/>
    <col min="15397" max="15398" width="22.21875" style="103" bestFit="1" customWidth="1"/>
    <col min="15399" max="15399" width="24.21875" style="103" customWidth="1"/>
    <col min="15400" max="15616" width="9.21875" style="103"/>
    <col min="15617" max="15617" width="11.5546875" style="103" bestFit="1" customWidth="1"/>
    <col min="15618" max="15618" width="111.5546875" style="103" customWidth="1"/>
    <col min="15619" max="15619" width="15.21875" style="103" bestFit="1" customWidth="1"/>
    <col min="15620" max="15620" width="16.6640625" style="103" bestFit="1" customWidth="1"/>
    <col min="15621" max="15622" width="18.5546875" style="103" customWidth="1"/>
    <col min="15623" max="15623" width="18.21875" style="103" customWidth="1"/>
    <col min="15624" max="15624" width="19.77734375" style="103" customWidth="1"/>
    <col min="15625" max="15626" width="27.77734375" style="103" customWidth="1"/>
    <col min="15627" max="15629" width="22.21875" style="103" customWidth="1"/>
    <col min="15630" max="15630" width="21.21875" style="103" customWidth="1"/>
    <col min="15631" max="15631" width="20.88671875" style="103" bestFit="1" customWidth="1"/>
    <col min="15632" max="15632" width="27.109375" style="103" customWidth="1"/>
    <col min="15633" max="15633" width="27.44140625" style="103" customWidth="1"/>
    <col min="15634" max="15634" width="21.44140625" style="103" customWidth="1"/>
    <col min="15635" max="15635" width="19.77734375" style="103" customWidth="1"/>
    <col min="15636" max="15638" width="18.5546875" style="103" customWidth="1"/>
    <col min="15639" max="15640" width="20.21875" style="103" customWidth="1"/>
    <col min="15641" max="15641" width="20.77734375" style="103" bestFit="1" customWidth="1"/>
    <col min="15642" max="15642" width="20.21875" style="103" customWidth="1"/>
    <col min="15643" max="15643" width="27" style="103" customWidth="1"/>
    <col min="15644" max="15644" width="19.44140625" style="103" bestFit="1" customWidth="1"/>
    <col min="15645" max="15645" width="26.44140625" style="103" customWidth="1"/>
    <col min="15646" max="15646" width="25.77734375" style="103" customWidth="1"/>
    <col min="15647" max="15647" width="24.44140625" style="103" customWidth="1"/>
    <col min="15648" max="15649" width="40.77734375" style="103" bestFit="1" customWidth="1"/>
    <col min="15650" max="15652" width="29.21875" style="103" customWidth="1"/>
    <col min="15653" max="15654" width="22.21875" style="103" bestFit="1" customWidth="1"/>
    <col min="15655" max="15655" width="24.21875" style="103" customWidth="1"/>
    <col min="15656" max="15872" width="9.21875" style="103"/>
    <col min="15873" max="15873" width="11.5546875" style="103" bestFit="1" customWidth="1"/>
    <col min="15874" max="15874" width="111.5546875" style="103" customWidth="1"/>
    <col min="15875" max="15875" width="15.21875" style="103" bestFit="1" customWidth="1"/>
    <col min="15876" max="15876" width="16.6640625" style="103" bestFit="1" customWidth="1"/>
    <col min="15877" max="15878" width="18.5546875" style="103" customWidth="1"/>
    <col min="15879" max="15879" width="18.21875" style="103" customWidth="1"/>
    <col min="15880" max="15880" width="19.77734375" style="103" customWidth="1"/>
    <col min="15881" max="15882" width="27.77734375" style="103" customWidth="1"/>
    <col min="15883" max="15885" width="22.21875" style="103" customWidth="1"/>
    <col min="15886" max="15886" width="21.21875" style="103" customWidth="1"/>
    <col min="15887" max="15887" width="20.88671875" style="103" bestFit="1" customWidth="1"/>
    <col min="15888" max="15888" width="27.109375" style="103" customWidth="1"/>
    <col min="15889" max="15889" width="27.44140625" style="103" customWidth="1"/>
    <col min="15890" max="15890" width="21.44140625" style="103" customWidth="1"/>
    <col min="15891" max="15891" width="19.77734375" style="103" customWidth="1"/>
    <col min="15892" max="15894" width="18.5546875" style="103" customWidth="1"/>
    <col min="15895" max="15896" width="20.21875" style="103" customWidth="1"/>
    <col min="15897" max="15897" width="20.77734375" style="103" bestFit="1" customWidth="1"/>
    <col min="15898" max="15898" width="20.21875" style="103" customWidth="1"/>
    <col min="15899" max="15899" width="27" style="103" customWidth="1"/>
    <col min="15900" max="15900" width="19.44140625" style="103" bestFit="1" customWidth="1"/>
    <col min="15901" max="15901" width="26.44140625" style="103" customWidth="1"/>
    <col min="15902" max="15902" width="25.77734375" style="103" customWidth="1"/>
    <col min="15903" max="15903" width="24.44140625" style="103" customWidth="1"/>
    <col min="15904" max="15905" width="40.77734375" style="103" bestFit="1" customWidth="1"/>
    <col min="15906" max="15908" width="29.21875" style="103" customWidth="1"/>
    <col min="15909" max="15910" width="22.21875" style="103" bestFit="1" customWidth="1"/>
    <col min="15911" max="15911" width="24.21875" style="103" customWidth="1"/>
    <col min="15912" max="16128" width="9.21875" style="103"/>
    <col min="16129" max="16129" width="11.5546875" style="103" bestFit="1" customWidth="1"/>
    <col min="16130" max="16130" width="111.5546875" style="103" customWidth="1"/>
    <col min="16131" max="16131" width="15.21875" style="103" bestFit="1" customWidth="1"/>
    <col min="16132" max="16132" width="16.6640625" style="103" bestFit="1" customWidth="1"/>
    <col min="16133" max="16134" width="18.5546875" style="103" customWidth="1"/>
    <col min="16135" max="16135" width="18.21875" style="103" customWidth="1"/>
    <col min="16136" max="16136" width="19.77734375" style="103" customWidth="1"/>
    <col min="16137" max="16138" width="27.77734375" style="103" customWidth="1"/>
    <col min="16139" max="16141" width="22.21875" style="103" customWidth="1"/>
    <col min="16142" max="16142" width="21.21875" style="103" customWidth="1"/>
    <col min="16143" max="16143" width="20.88671875" style="103" bestFit="1" customWidth="1"/>
    <col min="16144" max="16144" width="27.109375" style="103" customWidth="1"/>
    <col min="16145" max="16145" width="27.44140625" style="103" customWidth="1"/>
    <col min="16146" max="16146" width="21.44140625" style="103" customWidth="1"/>
    <col min="16147" max="16147" width="19.77734375" style="103" customWidth="1"/>
    <col min="16148" max="16150" width="18.5546875" style="103" customWidth="1"/>
    <col min="16151" max="16152" width="20.21875" style="103" customWidth="1"/>
    <col min="16153" max="16153" width="20.77734375" style="103" bestFit="1" customWidth="1"/>
    <col min="16154" max="16154" width="20.21875" style="103" customWidth="1"/>
    <col min="16155" max="16155" width="27" style="103" customWidth="1"/>
    <col min="16156" max="16156" width="19.44140625" style="103" bestFit="1" customWidth="1"/>
    <col min="16157" max="16157" width="26.44140625" style="103" customWidth="1"/>
    <col min="16158" max="16158" width="25.77734375" style="103" customWidth="1"/>
    <col min="16159" max="16159" width="24.44140625" style="103" customWidth="1"/>
    <col min="16160" max="16161" width="40.77734375" style="103" bestFit="1" customWidth="1"/>
    <col min="16162" max="16164" width="29.21875" style="103" customWidth="1"/>
    <col min="16165" max="16166" width="22.21875" style="103" bestFit="1" customWidth="1"/>
    <col min="16167" max="16167" width="24.21875" style="103" customWidth="1"/>
    <col min="16168" max="16384" width="9.21875" style="103"/>
  </cols>
  <sheetData>
    <row r="1" spans="1:39" ht="105">
      <c r="A1" s="88" t="s">
        <v>112</v>
      </c>
      <c r="B1" s="89" t="s">
        <v>113</v>
      </c>
      <c r="C1" s="90" t="s">
        <v>114</v>
      </c>
      <c r="D1" s="91" t="s">
        <v>115</v>
      </c>
      <c r="E1" s="92" t="s">
        <v>116</v>
      </c>
      <c r="F1" s="92" t="s">
        <v>117</v>
      </c>
      <c r="G1" s="93" t="s">
        <v>118</v>
      </c>
      <c r="H1" s="92" t="s">
        <v>119</v>
      </c>
      <c r="I1" s="92" t="s">
        <v>120</v>
      </c>
      <c r="J1" s="92" t="s">
        <v>121</v>
      </c>
      <c r="K1" s="92" t="s">
        <v>122</v>
      </c>
      <c r="L1" s="94" t="s">
        <v>123</v>
      </c>
      <c r="M1" s="94" t="s">
        <v>124</v>
      </c>
      <c r="N1" s="94" t="s">
        <v>125</v>
      </c>
      <c r="O1" s="94" t="s">
        <v>126</v>
      </c>
      <c r="P1" s="94" t="s">
        <v>127</v>
      </c>
      <c r="Q1" s="94" t="s">
        <v>128</v>
      </c>
      <c r="R1" s="94" t="s">
        <v>129</v>
      </c>
      <c r="S1" s="95" t="s">
        <v>130</v>
      </c>
      <c r="T1" s="95" t="s">
        <v>131</v>
      </c>
      <c r="U1" s="96" t="s">
        <v>132</v>
      </c>
      <c r="V1" s="95" t="s">
        <v>133</v>
      </c>
      <c r="W1" s="97" t="s">
        <v>134</v>
      </c>
      <c r="X1" s="97" t="s">
        <v>135</v>
      </c>
      <c r="Y1" s="97" t="s">
        <v>136</v>
      </c>
      <c r="Z1" s="98" t="s">
        <v>137</v>
      </c>
      <c r="AA1" s="98" t="s">
        <v>138</v>
      </c>
      <c r="AB1" s="98" t="s">
        <v>139</v>
      </c>
      <c r="AC1" s="99" t="s">
        <v>140</v>
      </c>
      <c r="AD1" s="99" t="s">
        <v>141</v>
      </c>
      <c r="AE1" s="99" t="s">
        <v>142</v>
      </c>
      <c r="AF1" s="100" t="s">
        <v>143</v>
      </c>
      <c r="AG1" s="100" t="s">
        <v>144</v>
      </c>
      <c r="AH1" s="101" t="s">
        <v>145</v>
      </c>
      <c r="AI1" s="101" t="s">
        <v>146</v>
      </c>
      <c r="AJ1" s="101" t="s">
        <v>147</v>
      </c>
      <c r="AK1" s="102" t="s">
        <v>148</v>
      </c>
      <c r="AL1" s="102" t="s">
        <v>149</v>
      </c>
      <c r="AM1" s="102" t="s">
        <v>150</v>
      </c>
    </row>
    <row r="2" spans="1:39" ht="22.8">
      <c r="A2" s="104"/>
      <c r="B2" s="105"/>
      <c r="C2" s="106"/>
      <c r="D2" s="107"/>
      <c r="E2" s="293" t="s">
        <v>151</v>
      </c>
      <c r="F2" s="294"/>
      <c r="G2" s="294"/>
      <c r="H2" s="294"/>
      <c r="I2" s="294"/>
      <c r="J2" s="294"/>
      <c r="K2" s="295"/>
      <c r="L2" s="296" t="s">
        <v>152</v>
      </c>
      <c r="M2" s="297"/>
      <c r="N2" s="297"/>
      <c r="O2" s="297"/>
      <c r="P2" s="297"/>
      <c r="Q2" s="297"/>
      <c r="R2" s="298"/>
      <c r="S2" s="299" t="s">
        <v>153</v>
      </c>
      <c r="T2" s="300"/>
      <c r="U2" s="300"/>
      <c r="V2" s="301"/>
      <c r="W2" s="302" t="s">
        <v>154</v>
      </c>
      <c r="X2" s="303"/>
      <c r="Y2" s="304"/>
      <c r="Z2" s="305" t="s">
        <v>155</v>
      </c>
      <c r="AA2" s="306"/>
      <c r="AB2" s="307"/>
      <c r="AC2" s="308" t="s">
        <v>156</v>
      </c>
      <c r="AD2" s="309"/>
      <c r="AE2" s="310"/>
      <c r="AF2" s="108" t="s">
        <v>157</v>
      </c>
      <c r="AG2" s="108" t="s">
        <v>158</v>
      </c>
      <c r="AH2" s="289" t="s">
        <v>159</v>
      </c>
      <c r="AI2" s="290"/>
      <c r="AJ2" s="291"/>
      <c r="AK2" s="292" t="s">
        <v>160</v>
      </c>
      <c r="AL2" s="292"/>
      <c r="AM2" s="292"/>
    </row>
    <row r="3" spans="1:39" ht="156.6">
      <c r="A3" s="109">
        <v>1</v>
      </c>
      <c r="B3" s="110" t="s">
        <v>161</v>
      </c>
      <c r="C3" s="111"/>
      <c r="D3" s="112"/>
      <c r="E3" s="113"/>
      <c r="F3" s="113"/>
      <c r="G3" s="114"/>
      <c r="H3" s="115"/>
      <c r="I3" s="116"/>
      <c r="J3" s="116"/>
      <c r="K3" s="116"/>
      <c r="L3" s="117"/>
      <c r="M3" s="117"/>
      <c r="N3" s="117"/>
      <c r="O3" s="117"/>
      <c r="P3" s="117"/>
      <c r="Q3" s="117"/>
      <c r="R3" s="117"/>
      <c r="S3" s="118"/>
      <c r="T3" s="118"/>
      <c r="U3" s="118"/>
      <c r="V3" s="118"/>
      <c r="W3" s="119"/>
      <c r="X3" s="119"/>
      <c r="Y3" s="119"/>
      <c r="Z3" s="120"/>
      <c r="AA3" s="120"/>
      <c r="AB3" s="120"/>
      <c r="AC3" s="121"/>
      <c r="AD3" s="121"/>
      <c r="AE3" s="121"/>
      <c r="AF3" s="122"/>
      <c r="AG3" s="122"/>
      <c r="AH3" s="123"/>
      <c r="AI3" s="123"/>
      <c r="AJ3" s="123"/>
      <c r="AK3" s="112"/>
      <c r="AL3" s="112"/>
      <c r="AM3" s="112"/>
    </row>
    <row r="4" spans="1:39">
      <c r="A4" s="109">
        <v>2</v>
      </c>
      <c r="B4" s="124" t="s">
        <v>162</v>
      </c>
      <c r="C4" s="111" t="s">
        <v>163</v>
      </c>
      <c r="D4" s="112">
        <v>178</v>
      </c>
      <c r="E4" s="113">
        <v>1750</v>
      </c>
      <c r="F4" s="113">
        <v>0</v>
      </c>
      <c r="G4" s="114">
        <f>'[2]DORMITORY MB'!H38</f>
        <v>924.8445099999999</v>
      </c>
      <c r="H4" s="115">
        <f>11.8+913.05</f>
        <v>924.84999999999991</v>
      </c>
      <c r="I4" s="116">
        <f t="shared" ref="I4:I65" si="0">IF(E4=0,G4,IF(AND(G4&gt;E4,E4&gt;0),G4-E4,0))</f>
        <v>0</v>
      </c>
      <c r="J4" s="116">
        <f t="shared" ref="J4:J65" si="1">IF(G4=0,E4,IF(E4&gt;=G4,E4-G4,0))</f>
        <v>825.1554900000001</v>
      </c>
      <c r="K4" s="116"/>
      <c r="L4" s="117">
        <f t="shared" ref="L4:Q19" si="2">E4*$D4</f>
        <v>311500</v>
      </c>
      <c r="M4" s="117">
        <f t="shared" si="2"/>
        <v>0</v>
      </c>
      <c r="N4" s="117">
        <f>G4*$D4</f>
        <v>164622.32277999999</v>
      </c>
      <c r="O4" s="117">
        <f>H4*$D4</f>
        <v>164623.29999999999</v>
      </c>
      <c r="P4" s="117">
        <f t="shared" si="2"/>
        <v>0</v>
      </c>
      <c r="Q4" s="117">
        <f t="shared" si="2"/>
        <v>146877.67722000001</v>
      </c>
      <c r="R4" s="117"/>
      <c r="S4" s="118">
        <f>(H4/E4)*100</f>
        <v>52.848571428571425</v>
      </c>
      <c r="T4" s="118">
        <f>(H4/G4)*100</f>
        <v>100.00059361329832</v>
      </c>
      <c r="U4" s="125">
        <f>H4/E4</f>
        <v>0.52848571428571423</v>
      </c>
      <c r="V4" s="118"/>
      <c r="W4" s="119">
        <f>S4/100*L4</f>
        <v>164623.29999999999</v>
      </c>
      <c r="X4" s="119">
        <f>T4/100*N4</f>
        <v>164623.30000000002</v>
      </c>
      <c r="Y4" s="119">
        <f>V4/100*O4</f>
        <v>0</v>
      </c>
      <c r="Z4" s="120">
        <f>O4</f>
        <v>164623.29999999999</v>
      </c>
      <c r="AA4" s="120">
        <f>IFERROR(W4/Z4,"")</f>
        <v>1</v>
      </c>
      <c r="AB4" s="120" t="str">
        <f>IF(AA4=0,"No Work",IF(AA4&lt;1,"Cost Overrun",IF(AA4=1,"On Budget",IF(AA4&gt;1,"Under Budget","-"))))</f>
        <v>On Budget</v>
      </c>
      <c r="AC4" s="121">
        <f>IFERROR((L4-W4)/AA4, "")</f>
        <v>146876.70000000001</v>
      </c>
      <c r="AD4" s="121">
        <f>IFERROR((N4-X4)/AA4, "")</f>
        <v>-0.97722000002977438</v>
      </c>
      <c r="AE4" s="121" t="str">
        <f>IFERROR((O4-Y4)/AB4, "")</f>
        <v/>
      </c>
      <c r="AF4" s="122">
        <f>Z4+AC4</f>
        <v>311500</v>
      </c>
      <c r="AG4" s="122">
        <f>L4-AF4</f>
        <v>0</v>
      </c>
      <c r="AH4" s="123">
        <f>L4-N4</f>
        <v>146877.67722000001</v>
      </c>
      <c r="AI4" s="123">
        <f>N4-O4</f>
        <v>-0.97722000000067055</v>
      </c>
      <c r="AJ4" s="123"/>
      <c r="AK4" s="112">
        <f>IFERROR(AH4/L4, "")</f>
        <v>0.47151742285714288</v>
      </c>
      <c r="AL4" s="112">
        <f>IFERROR(AI4/N4, "")</f>
        <v>-5.936132983050056E-6</v>
      </c>
      <c r="AM4" s="112">
        <f>IFERROR(AJ4/O4, "")</f>
        <v>0</v>
      </c>
    </row>
    <row r="5" spans="1:39">
      <c r="A5" s="109">
        <v>3</v>
      </c>
      <c r="B5" s="124" t="s">
        <v>164</v>
      </c>
      <c r="C5" s="111" t="s">
        <v>163</v>
      </c>
      <c r="D5" s="112">
        <v>268</v>
      </c>
      <c r="E5" s="113">
        <v>1625</v>
      </c>
      <c r="F5" s="113">
        <v>0</v>
      </c>
      <c r="G5" s="114">
        <f>'[2]DORMITORY MB'!H51</f>
        <v>913.05</v>
      </c>
      <c r="H5" s="115">
        <v>913.05</v>
      </c>
      <c r="I5" s="116">
        <f t="shared" si="0"/>
        <v>0</v>
      </c>
      <c r="J5" s="116">
        <f>IF(G5=0,E5,IF(E5&gt;=G5,E5-G5,0))</f>
        <v>711.95</v>
      </c>
      <c r="K5" s="116"/>
      <c r="L5" s="117">
        <f t="shared" si="2"/>
        <v>435500</v>
      </c>
      <c r="M5" s="117">
        <f t="shared" si="2"/>
        <v>0</v>
      </c>
      <c r="N5" s="117">
        <f t="shared" si="2"/>
        <v>244697.4</v>
      </c>
      <c r="O5" s="117">
        <f t="shared" si="2"/>
        <v>244697.4</v>
      </c>
      <c r="P5" s="117">
        <f>I5*$D5</f>
        <v>0</v>
      </c>
      <c r="Q5" s="117">
        <f>J5*$D5</f>
        <v>190802.6</v>
      </c>
      <c r="R5" s="117"/>
      <c r="S5" s="118">
        <f t="shared" ref="S5:S65" si="3">(H5/E5)*100</f>
        <v>56.187692307692302</v>
      </c>
      <c r="T5" s="118">
        <f t="shared" ref="T5:T65" si="4">(H5/G5)*100</f>
        <v>100</v>
      </c>
      <c r="U5" s="125">
        <f t="shared" ref="U5:U65" si="5">H5/E5</f>
        <v>0.56187692307692305</v>
      </c>
      <c r="V5" s="118"/>
      <c r="W5" s="119">
        <f>S5/100*L5</f>
        <v>244697.4</v>
      </c>
      <c r="X5" s="119">
        <f>T5/100*N5</f>
        <v>244697.4</v>
      </c>
      <c r="Y5" s="119">
        <f>V5/100*O5</f>
        <v>0</v>
      </c>
      <c r="Z5" s="120">
        <f>O5</f>
        <v>244697.4</v>
      </c>
      <c r="AA5" s="120">
        <f>IFERROR(W5/Z5,"")</f>
        <v>1</v>
      </c>
      <c r="AB5" s="120" t="str">
        <f>IF(AA5=0,"No Work",IF(AA5&lt;1,"Cost Overrun",IF(AA5=1,"On Budget",IF(AA5&gt;1,"Under Budget","-"))))</f>
        <v>On Budget</v>
      </c>
      <c r="AC5" s="121">
        <f>IFERROR((L5-W5)/AA5, "")</f>
        <v>190802.6</v>
      </c>
      <c r="AD5" s="121">
        <f>IFERROR((N5-X5)/AA5, "")</f>
        <v>0</v>
      </c>
      <c r="AE5" s="121" t="str">
        <f>IFERROR((O5-Y5)/AB5, "")</f>
        <v/>
      </c>
      <c r="AF5" s="122">
        <f>Z5+AC5</f>
        <v>435500</v>
      </c>
      <c r="AG5" s="122">
        <f>L5-AF5</f>
        <v>0</v>
      </c>
      <c r="AH5" s="123">
        <f>L5-N5</f>
        <v>190802.6</v>
      </c>
      <c r="AI5" s="123">
        <f>N5-O5</f>
        <v>0</v>
      </c>
      <c r="AJ5" s="123"/>
      <c r="AK5" s="112">
        <f>IFERROR(AH5/L5, "")</f>
        <v>0.43812307692307695</v>
      </c>
      <c r="AL5" s="112">
        <f>IFERROR(AI5/N5, "")</f>
        <v>0</v>
      </c>
      <c r="AM5" s="112">
        <f>IFERROR(AJ5/O5, "")</f>
        <v>0</v>
      </c>
    </row>
    <row r="6" spans="1:39">
      <c r="A6" s="109">
        <v>4</v>
      </c>
      <c r="B6" s="124" t="s">
        <v>165</v>
      </c>
      <c r="C6" s="111" t="s">
        <v>163</v>
      </c>
      <c r="D6" s="112">
        <v>375</v>
      </c>
      <c r="E6" s="113">
        <v>550</v>
      </c>
      <c r="F6" s="113">
        <v>0</v>
      </c>
      <c r="G6" s="114">
        <v>0</v>
      </c>
      <c r="H6" s="115">
        <v>0</v>
      </c>
      <c r="I6" s="116">
        <f t="shared" si="0"/>
        <v>0</v>
      </c>
      <c r="J6" s="116">
        <f t="shared" si="1"/>
        <v>550</v>
      </c>
      <c r="K6" s="116"/>
      <c r="L6" s="117">
        <f t="shared" si="2"/>
        <v>206250</v>
      </c>
      <c r="M6" s="117">
        <f t="shared" si="2"/>
        <v>0</v>
      </c>
      <c r="N6" s="117">
        <f t="shared" si="2"/>
        <v>0</v>
      </c>
      <c r="O6" s="117">
        <f t="shared" si="2"/>
        <v>0</v>
      </c>
      <c r="P6" s="117">
        <f t="shared" si="2"/>
        <v>0</v>
      </c>
      <c r="Q6" s="117">
        <f t="shared" si="2"/>
        <v>206250</v>
      </c>
      <c r="R6" s="117"/>
      <c r="S6" s="118">
        <f t="shared" si="3"/>
        <v>0</v>
      </c>
      <c r="T6" s="118"/>
      <c r="U6" s="125">
        <f t="shared" si="5"/>
        <v>0</v>
      </c>
      <c r="V6" s="118"/>
      <c r="W6" s="119"/>
      <c r="X6" s="119"/>
      <c r="Y6" s="119"/>
      <c r="Z6" s="120"/>
      <c r="AA6" s="120"/>
      <c r="AB6" s="120"/>
      <c r="AC6" s="121"/>
      <c r="AD6" s="121"/>
      <c r="AE6" s="121"/>
      <c r="AF6" s="122"/>
      <c r="AG6" s="122"/>
      <c r="AH6" s="123"/>
      <c r="AI6" s="123"/>
      <c r="AJ6" s="123"/>
      <c r="AK6" s="112"/>
      <c r="AL6" s="112"/>
      <c r="AM6" s="112"/>
    </row>
    <row r="7" spans="1:39" ht="69.599999999999994">
      <c r="A7" s="109">
        <v>5</v>
      </c>
      <c r="B7" s="126" t="s">
        <v>166</v>
      </c>
      <c r="C7" s="111" t="s">
        <v>163</v>
      </c>
      <c r="D7" s="112">
        <v>495</v>
      </c>
      <c r="E7" s="113">
        <v>110</v>
      </c>
      <c r="F7" s="113">
        <v>0</v>
      </c>
      <c r="G7" s="114">
        <v>0</v>
      </c>
      <c r="H7" s="115">
        <v>0</v>
      </c>
      <c r="I7" s="116">
        <f t="shared" si="0"/>
        <v>0</v>
      </c>
      <c r="J7" s="116">
        <f t="shared" si="1"/>
        <v>110</v>
      </c>
      <c r="K7" s="116"/>
      <c r="L7" s="117">
        <f t="shared" si="2"/>
        <v>54450</v>
      </c>
      <c r="M7" s="117">
        <f t="shared" si="2"/>
        <v>0</v>
      </c>
      <c r="N7" s="117">
        <f t="shared" si="2"/>
        <v>0</v>
      </c>
      <c r="O7" s="117">
        <f t="shared" si="2"/>
        <v>0</v>
      </c>
      <c r="P7" s="117">
        <f t="shared" si="2"/>
        <v>0</v>
      </c>
      <c r="Q7" s="117">
        <f t="shared" si="2"/>
        <v>54450</v>
      </c>
      <c r="R7" s="117"/>
      <c r="S7" s="118">
        <f t="shared" si="3"/>
        <v>0</v>
      </c>
      <c r="T7" s="118"/>
      <c r="U7" s="125">
        <f t="shared" si="5"/>
        <v>0</v>
      </c>
      <c r="V7" s="118"/>
      <c r="W7" s="119"/>
      <c r="X7" s="119"/>
      <c r="Y7" s="119"/>
      <c r="Z7" s="120"/>
      <c r="AA7" s="120"/>
      <c r="AB7" s="120"/>
      <c r="AC7" s="121"/>
      <c r="AD7" s="121"/>
      <c r="AE7" s="121"/>
      <c r="AF7" s="122"/>
      <c r="AG7" s="122"/>
      <c r="AH7" s="123"/>
      <c r="AI7" s="123"/>
      <c r="AJ7" s="123"/>
      <c r="AK7" s="112"/>
      <c r="AL7" s="112"/>
      <c r="AM7" s="112"/>
    </row>
    <row r="8" spans="1:39" ht="87">
      <c r="A8" s="109">
        <v>6</v>
      </c>
      <c r="B8" s="126" t="s">
        <v>167</v>
      </c>
      <c r="C8" s="111" t="s">
        <v>163</v>
      </c>
      <c r="D8" s="112">
        <v>200</v>
      </c>
      <c r="E8" s="113">
        <v>10000</v>
      </c>
      <c r="F8" s="113">
        <v>0</v>
      </c>
      <c r="G8" s="114">
        <f>'[2]DORMITORY MB'!H75</f>
        <v>1123.2190140000093</v>
      </c>
      <c r="H8" s="115">
        <v>1123.22</v>
      </c>
      <c r="I8" s="116">
        <f t="shared" si="0"/>
        <v>0</v>
      </c>
      <c r="J8" s="116">
        <f t="shared" si="1"/>
        <v>8876.7809859999907</v>
      </c>
      <c r="K8" s="116"/>
      <c r="L8" s="117">
        <f t="shared" si="2"/>
        <v>2000000</v>
      </c>
      <c r="M8" s="117">
        <f t="shared" si="2"/>
        <v>0</v>
      </c>
      <c r="N8" s="117">
        <f t="shared" si="2"/>
        <v>224643.80280000187</v>
      </c>
      <c r="O8" s="117">
        <f t="shared" si="2"/>
        <v>224644</v>
      </c>
      <c r="P8" s="117">
        <f t="shared" si="2"/>
        <v>0</v>
      </c>
      <c r="Q8" s="117">
        <f t="shared" si="2"/>
        <v>1775356.1971999982</v>
      </c>
      <c r="R8" s="117"/>
      <c r="S8" s="118">
        <f t="shared" si="3"/>
        <v>11.232200000000001</v>
      </c>
      <c r="T8" s="118">
        <f t="shared" si="4"/>
        <v>100.00008778341342</v>
      </c>
      <c r="U8" s="125">
        <f t="shared" si="5"/>
        <v>0.11232200000000001</v>
      </c>
      <c r="V8" s="118"/>
      <c r="W8" s="119"/>
      <c r="X8" s="119"/>
      <c r="Y8" s="119"/>
      <c r="Z8" s="120"/>
      <c r="AA8" s="120"/>
      <c r="AB8" s="120"/>
      <c r="AC8" s="121"/>
      <c r="AD8" s="121"/>
      <c r="AE8" s="121"/>
      <c r="AF8" s="122"/>
      <c r="AG8" s="122"/>
      <c r="AH8" s="123"/>
      <c r="AI8" s="123"/>
      <c r="AJ8" s="123"/>
      <c r="AK8" s="112"/>
      <c r="AL8" s="112"/>
      <c r="AM8" s="112"/>
    </row>
    <row r="9" spans="1:39" ht="69.599999999999994">
      <c r="A9" s="109">
        <v>7</v>
      </c>
      <c r="B9" s="127" t="s">
        <v>168</v>
      </c>
      <c r="C9" s="111" t="s">
        <v>163</v>
      </c>
      <c r="D9" s="112">
        <v>2000</v>
      </c>
      <c r="E9" s="113">
        <v>195.5</v>
      </c>
      <c r="F9" s="113">
        <v>0</v>
      </c>
      <c r="G9" s="114">
        <f>'[2]DORMITORY MB'!H108</f>
        <v>173.80939000000004</v>
      </c>
      <c r="H9" s="115">
        <v>173.81</v>
      </c>
      <c r="I9" s="116">
        <f t="shared" si="0"/>
        <v>0</v>
      </c>
      <c r="J9" s="116">
        <f t="shared" si="1"/>
        <v>21.690609999999964</v>
      </c>
      <c r="K9" s="116"/>
      <c r="L9" s="117">
        <f t="shared" si="2"/>
        <v>391000</v>
      </c>
      <c r="M9" s="117">
        <f t="shared" si="2"/>
        <v>0</v>
      </c>
      <c r="N9" s="117">
        <f t="shared" si="2"/>
        <v>347618.78000000009</v>
      </c>
      <c r="O9" s="117">
        <f t="shared" si="2"/>
        <v>347620</v>
      </c>
      <c r="P9" s="117">
        <f t="shared" si="2"/>
        <v>0</v>
      </c>
      <c r="Q9" s="117">
        <f t="shared" si="2"/>
        <v>43381.219999999928</v>
      </c>
      <c r="R9" s="117"/>
      <c r="S9" s="118">
        <f t="shared" si="3"/>
        <v>88.905370843989772</v>
      </c>
      <c r="T9" s="118">
        <f t="shared" si="4"/>
        <v>100.00035095917428</v>
      </c>
      <c r="U9" s="125">
        <f t="shared" si="5"/>
        <v>0.88905370843989773</v>
      </c>
      <c r="V9" s="118"/>
      <c r="W9" s="119"/>
      <c r="X9" s="119"/>
      <c r="Y9" s="119"/>
      <c r="Z9" s="120"/>
      <c r="AA9" s="120"/>
      <c r="AB9" s="120"/>
      <c r="AC9" s="121"/>
      <c r="AD9" s="121"/>
      <c r="AE9" s="121"/>
      <c r="AF9" s="122"/>
      <c r="AG9" s="122"/>
      <c r="AH9" s="123"/>
      <c r="AI9" s="123"/>
      <c r="AJ9" s="123"/>
      <c r="AK9" s="112"/>
      <c r="AL9" s="112"/>
      <c r="AM9" s="112"/>
    </row>
    <row r="10" spans="1:39" ht="104.4">
      <c r="A10" s="109">
        <v>8</v>
      </c>
      <c r="B10" s="128" t="s">
        <v>169</v>
      </c>
      <c r="C10" s="111" t="s">
        <v>163</v>
      </c>
      <c r="D10" s="112">
        <v>3925</v>
      </c>
      <c r="E10" s="113">
        <v>265</v>
      </c>
      <c r="F10" s="113">
        <v>0</v>
      </c>
      <c r="G10" s="114">
        <f>'[2]DORMITORY MB'!H194</f>
        <v>223.55048499999995</v>
      </c>
      <c r="H10" s="115">
        <v>223.55</v>
      </c>
      <c r="I10" s="116">
        <f t="shared" si="0"/>
        <v>0</v>
      </c>
      <c r="J10" s="116">
        <f t="shared" si="1"/>
        <v>41.449515000000048</v>
      </c>
      <c r="K10" s="116"/>
      <c r="L10" s="117">
        <f t="shared" si="2"/>
        <v>1040125</v>
      </c>
      <c r="M10" s="117">
        <f t="shared" si="2"/>
        <v>0</v>
      </c>
      <c r="N10" s="117">
        <f t="shared" si="2"/>
        <v>877435.6536249998</v>
      </c>
      <c r="O10" s="117">
        <f t="shared" si="2"/>
        <v>877433.75</v>
      </c>
      <c r="P10" s="117">
        <f t="shared" si="2"/>
        <v>0</v>
      </c>
      <c r="Q10" s="117">
        <f t="shared" si="2"/>
        <v>162689.3463750002</v>
      </c>
      <c r="R10" s="117"/>
      <c r="S10" s="118">
        <f t="shared" si="3"/>
        <v>84.35849056603773</v>
      </c>
      <c r="T10" s="118">
        <f>(H10/G10)*100</f>
        <v>99.999783046769082</v>
      </c>
      <c r="U10" s="125">
        <f t="shared" si="5"/>
        <v>0.84358490566037736</v>
      </c>
      <c r="V10" s="118"/>
      <c r="W10" s="119">
        <f>S10/100*L10</f>
        <v>877433.74999999988</v>
      </c>
      <c r="X10" s="119">
        <f>T10/100*N10</f>
        <v>877433.75000000012</v>
      </c>
      <c r="Y10" s="119">
        <f>V10/100*O10</f>
        <v>0</v>
      </c>
      <c r="Z10" s="120">
        <f>O10</f>
        <v>877433.75</v>
      </c>
      <c r="AA10" s="120">
        <f>IFERROR(W10/Z10,"")</f>
        <v>0.99999999999999989</v>
      </c>
      <c r="AB10" s="120" t="str">
        <f>IF(AA10=0,"No Work",IF(AA10&lt;1,"Cost Overrun",IF(AA10=1,"On Budget",IF(AA10&gt;1,"Under Budget","-"))))</f>
        <v>On Budget</v>
      </c>
      <c r="AC10" s="121">
        <f>IFERROR((L10-W10)/AA10, "")</f>
        <v>162691.25000000015</v>
      </c>
      <c r="AD10" s="121">
        <f>IFERROR((N10-X10)/AA10, "")</f>
        <v>1.9036249996861445</v>
      </c>
      <c r="AE10" s="121" t="str">
        <f>IFERROR((O10-Y10)/AB10, "")</f>
        <v/>
      </c>
      <c r="AF10" s="122">
        <f>Z10+AC10</f>
        <v>1040125.0000000001</v>
      </c>
      <c r="AG10" s="122">
        <f>L10-AF10</f>
        <v>0</v>
      </c>
      <c r="AH10" s="123">
        <f>L10-N10</f>
        <v>162689.3463750002</v>
      </c>
      <c r="AI10" s="123">
        <f>N10-O10</f>
        <v>1.9036249998025596</v>
      </c>
      <c r="AJ10" s="123"/>
      <c r="AK10" s="112">
        <f>IFERROR(AH10/L10, "")</f>
        <v>0.15641326415094359</v>
      </c>
      <c r="AL10" s="112">
        <f>IFERROR(AI10/N10, "")</f>
        <v>2.1695323092217709E-6</v>
      </c>
      <c r="AM10" s="112">
        <f>IFERROR(AJ10/O10, "")</f>
        <v>0</v>
      </c>
    </row>
    <row r="11" spans="1:39" ht="156.6">
      <c r="A11" s="109">
        <v>9</v>
      </c>
      <c r="B11" s="110" t="s">
        <v>170</v>
      </c>
      <c r="C11" s="111" t="s">
        <v>163</v>
      </c>
      <c r="D11" s="112">
        <v>5350</v>
      </c>
      <c r="E11" s="113">
        <v>380</v>
      </c>
      <c r="F11" s="113">
        <v>0</v>
      </c>
      <c r="G11" s="114">
        <f>'[2]DORMITORY MB'!H328</f>
        <v>519.00076874999979</v>
      </c>
      <c r="H11" s="129">
        <f>503.11+5+5.03</f>
        <v>513.14</v>
      </c>
      <c r="I11" s="116">
        <f t="shared" si="0"/>
        <v>139.00076874999979</v>
      </c>
      <c r="J11" s="116">
        <f t="shared" si="1"/>
        <v>0</v>
      </c>
      <c r="K11" s="116"/>
      <c r="L11" s="117">
        <f t="shared" si="2"/>
        <v>2033000</v>
      </c>
      <c r="M11" s="117">
        <f t="shared" si="2"/>
        <v>0</v>
      </c>
      <c r="N11" s="117">
        <f t="shared" si="2"/>
        <v>2776654.1128124991</v>
      </c>
      <c r="O11" s="117">
        <f t="shared" si="2"/>
        <v>2745299</v>
      </c>
      <c r="P11" s="117">
        <f t="shared" si="2"/>
        <v>743654.11281249893</v>
      </c>
      <c r="Q11" s="117">
        <f t="shared" si="2"/>
        <v>0</v>
      </c>
      <c r="R11" s="117"/>
      <c r="S11" s="118">
        <f t="shared" si="3"/>
        <v>135.03684210526313</v>
      </c>
      <c r="T11" s="118">
        <f t="shared" si="4"/>
        <v>98.870759138928577</v>
      </c>
      <c r="U11" s="125">
        <f t="shared" si="5"/>
        <v>1.3503684210526314</v>
      </c>
      <c r="V11" s="118"/>
      <c r="W11" s="119">
        <f>S11/100*L11</f>
        <v>2745298.9999999995</v>
      </c>
      <c r="X11" s="119">
        <f>T11/100*N11</f>
        <v>2745299</v>
      </c>
      <c r="Y11" s="119">
        <f>V11/100*O11</f>
        <v>0</v>
      </c>
      <c r="Z11" s="120">
        <f>O11</f>
        <v>2745299</v>
      </c>
      <c r="AA11" s="120">
        <f>IFERROR(W11/Z11,"")</f>
        <v>0.99999999999999978</v>
      </c>
      <c r="AB11" s="120" t="str">
        <f>IF(AA11=0,"No Work",IF(AA11&lt;1,"Cost Overrun",IF(AA11=1,"On Budget",IF(AA11&gt;1,"Under Budget","-"))))</f>
        <v>On Budget</v>
      </c>
      <c r="AC11" s="121">
        <f>IFERROR((L11-W11)/AA11, "")</f>
        <v>-712298.99999999965</v>
      </c>
      <c r="AD11" s="121">
        <f>IFERROR((N11-X11)/AA11, "")</f>
        <v>31355.112812499057</v>
      </c>
      <c r="AE11" s="121" t="str">
        <f>IFERROR((O11-Y11)/AB11, "")</f>
        <v/>
      </c>
      <c r="AF11" s="122">
        <f>Z11+AC11</f>
        <v>2033000.0000000005</v>
      </c>
      <c r="AG11" s="122">
        <f>L11-AF11</f>
        <v>0</v>
      </c>
      <c r="AH11" s="123">
        <f>L11-N11</f>
        <v>-743654.11281249905</v>
      </c>
      <c r="AI11" s="123">
        <f>N11-O11</f>
        <v>31355.11281249905</v>
      </c>
      <c r="AJ11" s="123"/>
      <c r="AK11" s="112">
        <f>IFERROR(AH11/L11, "")</f>
        <v>-0.36579149671052585</v>
      </c>
      <c r="AL11" s="112">
        <f>IFERROR(AI11/N11, "")</f>
        <v>1.1292408610714268E-2</v>
      </c>
      <c r="AM11" s="112">
        <f>IFERROR(AJ11/O11, "")</f>
        <v>0</v>
      </c>
    </row>
    <row r="12" spans="1:39">
      <c r="A12" s="109">
        <v>10</v>
      </c>
      <c r="B12" s="124" t="s">
        <v>171</v>
      </c>
      <c r="C12" s="111" t="s">
        <v>163</v>
      </c>
      <c r="D12" s="112">
        <v>5400</v>
      </c>
      <c r="E12" s="113">
        <v>210</v>
      </c>
      <c r="F12" s="113">
        <v>0</v>
      </c>
      <c r="G12" s="114">
        <f>'[2]DORMITORY MB'!H403</f>
        <v>208.27710300000001</v>
      </c>
      <c r="H12" s="115">
        <f>1+205.07+0.5</f>
        <v>206.57</v>
      </c>
      <c r="I12" s="116">
        <f t="shared" si="0"/>
        <v>0</v>
      </c>
      <c r="J12" s="116">
        <f t="shared" si="1"/>
        <v>1.722896999999989</v>
      </c>
      <c r="K12" s="116"/>
      <c r="L12" s="117">
        <f t="shared" si="2"/>
        <v>1134000</v>
      </c>
      <c r="M12" s="117">
        <f t="shared" si="2"/>
        <v>0</v>
      </c>
      <c r="N12" s="117">
        <f t="shared" si="2"/>
        <v>1124696.3562</v>
      </c>
      <c r="O12" s="117">
        <f t="shared" si="2"/>
        <v>1115478</v>
      </c>
      <c r="P12" s="117">
        <f t="shared" si="2"/>
        <v>0</v>
      </c>
      <c r="Q12" s="117">
        <f t="shared" si="2"/>
        <v>9303.6437999999398</v>
      </c>
      <c r="R12" s="117"/>
      <c r="S12" s="118">
        <f t="shared" si="3"/>
        <v>98.366666666666674</v>
      </c>
      <c r="T12" s="118">
        <f t="shared" si="4"/>
        <v>99.180369337094149</v>
      </c>
      <c r="U12" s="125">
        <f t="shared" si="5"/>
        <v>0.98366666666666669</v>
      </c>
      <c r="V12" s="118"/>
      <c r="W12" s="119"/>
      <c r="X12" s="119"/>
      <c r="Y12" s="119"/>
      <c r="Z12" s="120"/>
      <c r="AA12" s="120"/>
      <c r="AB12" s="120"/>
      <c r="AC12" s="121"/>
      <c r="AD12" s="121"/>
      <c r="AE12" s="121"/>
      <c r="AF12" s="122"/>
      <c r="AG12" s="122"/>
      <c r="AH12" s="123"/>
      <c r="AI12" s="123"/>
      <c r="AJ12" s="123"/>
      <c r="AK12" s="112"/>
      <c r="AL12" s="112"/>
      <c r="AM12" s="112"/>
    </row>
    <row r="13" spans="1:39">
      <c r="A13" s="109">
        <v>11</v>
      </c>
      <c r="B13" s="124" t="s">
        <v>172</v>
      </c>
      <c r="C13" s="111" t="s">
        <v>163</v>
      </c>
      <c r="D13" s="112">
        <v>5550</v>
      </c>
      <c r="E13" s="113">
        <v>210</v>
      </c>
      <c r="F13" s="113">
        <v>0</v>
      </c>
      <c r="G13" s="114">
        <f>'[2]DORMITORY MB'!H478</f>
        <v>208.27710300000001</v>
      </c>
      <c r="H13" s="115">
        <v>189.56</v>
      </c>
      <c r="I13" s="116">
        <f t="shared" si="0"/>
        <v>0</v>
      </c>
      <c r="J13" s="116">
        <f t="shared" si="1"/>
        <v>1.722896999999989</v>
      </c>
      <c r="K13" s="116"/>
      <c r="L13" s="117">
        <f t="shared" si="2"/>
        <v>1165500</v>
      </c>
      <c r="M13" s="117">
        <f t="shared" si="2"/>
        <v>0</v>
      </c>
      <c r="N13" s="117">
        <f t="shared" si="2"/>
        <v>1155937.9216500001</v>
      </c>
      <c r="O13" s="117">
        <f t="shared" si="2"/>
        <v>1052058</v>
      </c>
      <c r="P13" s="117">
        <f t="shared" si="2"/>
        <v>0</v>
      </c>
      <c r="Q13" s="117">
        <f t="shared" si="2"/>
        <v>9562.0783499999397</v>
      </c>
      <c r="R13" s="117"/>
      <c r="S13" s="118">
        <f t="shared" si="3"/>
        <v>90.26666666666668</v>
      </c>
      <c r="T13" s="118">
        <f t="shared" si="4"/>
        <v>91.013365016892905</v>
      </c>
      <c r="U13" s="125">
        <f t="shared" si="5"/>
        <v>0.90266666666666673</v>
      </c>
      <c r="V13" s="118"/>
      <c r="W13" s="119"/>
      <c r="X13" s="119"/>
      <c r="Y13" s="119"/>
      <c r="Z13" s="120"/>
      <c r="AA13" s="120"/>
      <c r="AB13" s="120"/>
      <c r="AC13" s="121"/>
      <c r="AD13" s="121"/>
      <c r="AE13" s="121"/>
      <c r="AF13" s="122"/>
      <c r="AG13" s="122"/>
      <c r="AH13" s="123"/>
      <c r="AI13" s="123"/>
      <c r="AJ13" s="123"/>
      <c r="AK13" s="112"/>
      <c r="AL13" s="112"/>
      <c r="AM13" s="112"/>
    </row>
    <row r="14" spans="1:39">
      <c r="A14" s="109">
        <v>12</v>
      </c>
      <c r="B14" s="124" t="s">
        <v>173</v>
      </c>
      <c r="C14" s="111" t="s">
        <v>163</v>
      </c>
      <c r="D14" s="112">
        <v>5700</v>
      </c>
      <c r="E14" s="113">
        <v>210</v>
      </c>
      <c r="F14" s="113">
        <v>0</v>
      </c>
      <c r="G14" s="114">
        <f>'[2]DORMITORY MB'!H553</f>
        <v>208.27710300000001</v>
      </c>
      <c r="H14" s="115">
        <v>172.28</v>
      </c>
      <c r="I14" s="116">
        <f t="shared" si="0"/>
        <v>0</v>
      </c>
      <c r="J14" s="116">
        <f t="shared" si="1"/>
        <v>1.722896999999989</v>
      </c>
      <c r="K14" s="116"/>
      <c r="L14" s="117">
        <f t="shared" si="2"/>
        <v>1197000</v>
      </c>
      <c r="M14" s="117">
        <f t="shared" si="2"/>
        <v>0</v>
      </c>
      <c r="N14" s="117">
        <f t="shared" si="2"/>
        <v>1187179.4871</v>
      </c>
      <c r="O14" s="117">
        <f t="shared" si="2"/>
        <v>981996</v>
      </c>
      <c r="P14" s="117">
        <f t="shared" si="2"/>
        <v>0</v>
      </c>
      <c r="Q14" s="117">
        <f t="shared" si="2"/>
        <v>9820.5128999999379</v>
      </c>
      <c r="R14" s="117"/>
      <c r="S14" s="118">
        <f t="shared" si="3"/>
        <v>82.038095238095238</v>
      </c>
      <c r="T14" s="118">
        <f t="shared" si="4"/>
        <v>82.716725707482112</v>
      </c>
      <c r="U14" s="125">
        <f t="shared" si="5"/>
        <v>0.82038095238095243</v>
      </c>
      <c r="V14" s="118"/>
      <c r="W14" s="119"/>
      <c r="X14" s="119"/>
      <c r="Y14" s="119"/>
      <c r="Z14" s="120"/>
      <c r="AA14" s="120"/>
      <c r="AB14" s="120"/>
      <c r="AC14" s="121"/>
      <c r="AD14" s="121"/>
      <c r="AE14" s="121"/>
      <c r="AF14" s="122"/>
      <c r="AG14" s="122"/>
      <c r="AH14" s="123"/>
      <c r="AI14" s="123"/>
      <c r="AJ14" s="123"/>
      <c r="AK14" s="112"/>
      <c r="AL14" s="112"/>
      <c r="AM14" s="112"/>
    </row>
    <row r="15" spans="1:39">
      <c r="A15" s="109">
        <v>13</v>
      </c>
      <c r="B15" s="124" t="s">
        <v>174</v>
      </c>
      <c r="C15" s="111" t="s">
        <v>163</v>
      </c>
      <c r="D15" s="112">
        <v>5800</v>
      </c>
      <c r="E15" s="113">
        <v>210</v>
      </c>
      <c r="F15" s="113">
        <v>0</v>
      </c>
      <c r="G15" s="114">
        <f>'[2]DORMITORY MB'!H628</f>
        <v>208.27710300000001</v>
      </c>
      <c r="H15" s="115">
        <v>22.68</v>
      </c>
      <c r="I15" s="116">
        <f t="shared" si="0"/>
        <v>0</v>
      </c>
      <c r="J15" s="116">
        <f t="shared" si="1"/>
        <v>1.722896999999989</v>
      </c>
      <c r="K15" s="116"/>
      <c r="L15" s="117">
        <f t="shared" si="2"/>
        <v>1218000</v>
      </c>
      <c r="M15" s="117">
        <f t="shared" si="2"/>
        <v>0</v>
      </c>
      <c r="N15" s="117">
        <f t="shared" si="2"/>
        <v>1208007.1974000002</v>
      </c>
      <c r="O15" s="117">
        <f t="shared" si="2"/>
        <v>131544</v>
      </c>
      <c r="P15" s="117">
        <f t="shared" si="2"/>
        <v>0</v>
      </c>
      <c r="Q15" s="117">
        <f t="shared" si="2"/>
        <v>9992.8025999999372</v>
      </c>
      <c r="R15" s="117"/>
      <c r="S15" s="118">
        <f t="shared" si="3"/>
        <v>10.8</v>
      </c>
      <c r="T15" s="118">
        <f t="shared" si="4"/>
        <v>10.889339093601661</v>
      </c>
      <c r="U15" s="125">
        <f t="shared" si="5"/>
        <v>0.108</v>
      </c>
      <c r="V15" s="118"/>
      <c r="W15" s="119"/>
      <c r="X15" s="119"/>
      <c r="Y15" s="119"/>
      <c r="Z15" s="120"/>
      <c r="AA15" s="120"/>
      <c r="AB15" s="120"/>
      <c r="AC15" s="121"/>
      <c r="AD15" s="121"/>
      <c r="AE15" s="121"/>
      <c r="AF15" s="122"/>
      <c r="AG15" s="122"/>
      <c r="AH15" s="123"/>
      <c r="AI15" s="123"/>
      <c r="AJ15" s="123"/>
      <c r="AK15" s="112"/>
      <c r="AL15" s="112"/>
      <c r="AM15" s="112"/>
    </row>
    <row r="16" spans="1:39">
      <c r="A16" s="109">
        <v>14</v>
      </c>
      <c r="B16" s="124" t="s">
        <v>175</v>
      </c>
      <c r="C16" s="111" t="s">
        <v>163</v>
      </c>
      <c r="D16" s="112">
        <v>5900</v>
      </c>
      <c r="E16" s="113">
        <v>210</v>
      </c>
      <c r="F16" s="113">
        <v>0</v>
      </c>
      <c r="G16" s="114">
        <f>'[2]DORMITORY MB'!H703</f>
        <v>208.27710300000001</v>
      </c>
      <c r="H16" s="115">
        <v>0</v>
      </c>
      <c r="I16" s="116">
        <f t="shared" si="0"/>
        <v>0</v>
      </c>
      <c r="J16" s="116">
        <f t="shared" si="1"/>
        <v>1.722896999999989</v>
      </c>
      <c r="K16" s="116"/>
      <c r="L16" s="117">
        <f t="shared" si="2"/>
        <v>1239000</v>
      </c>
      <c r="M16" s="117">
        <f t="shared" si="2"/>
        <v>0</v>
      </c>
      <c r="N16" s="117">
        <f t="shared" si="2"/>
        <v>1228834.9077000001</v>
      </c>
      <c r="O16" s="117">
        <f t="shared" si="2"/>
        <v>0</v>
      </c>
      <c r="P16" s="117">
        <f t="shared" si="2"/>
        <v>0</v>
      </c>
      <c r="Q16" s="117">
        <f t="shared" si="2"/>
        <v>10165.092299999935</v>
      </c>
      <c r="R16" s="117"/>
      <c r="S16" s="118">
        <f t="shared" si="3"/>
        <v>0</v>
      </c>
      <c r="T16" s="118">
        <f t="shared" si="4"/>
        <v>0</v>
      </c>
      <c r="U16" s="125">
        <f t="shared" si="5"/>
        <v>0</v>
      </c>
      <c r="V16" s="118"/>
      <c r="W16" s="119"/>
      <c r="X16" s="119"/>
      <c r="Y16" s="119"/>
      <c r="Z16" s="120"/>
      <c r="AA16" s="120"/>
      <c r="AB16" s="120"/>
      <c r="AC16" s="121"/>
      <c r="AD16" s="121"/>
      <c r="AE16" s="121"/>
      <c r="AF16" s="122"/>
      <c r="AG16" s="122"/>
      <c r="AH16" s="123"/>
      <c r="AI16" s="123"/>
      <c r="AJ16" s="123"/>
      <c r="AK16" s="112"/>
      <c r="AL16" s="112"/>
      <c r="AM16" s="112"/>
    </row>
    <row r="17" spans="1:39" ht="121.8">
      <c r="A17" s="109">
        <v>15</v>
      </c>
      <c r="B17" s="110" t="s">
        <v>176</v>
      </c>
      <c r="C17" s="111" t="s">
        <v>177</v>
      </c>
      <c r="D17" s="112">
        <v>69100</v>
      </c>
      <c r="E17" s="113">
        <v>153.03324597</v>
      </c>
      <c r="F17" s="113">
        <v>0</v>
      </c>
      <c r="G17" s="114">
        <f>'[2]DORMITORY BBS'!U1965</f>
        <v>177.44494847107413</v>
      </c>
      <c r="H17" s="115">
        <v>153.05000000000001</v>
      </c>
      <c r="I17" s="116">
        <f t="shared" si="0"/>
        <v>24.411702501074132</v>
      </c>
      <c r="J17" s="116">
        <f t="shared" si="1"/>
        <v>0</v>
      </c>
      <c r="K17" s="116"/>
      <c r="L17" s="117">
        <f t="shared" si="2"/>
        <v>10574597.296527</v>
      </c>
      <c r="M17" s="117">
        <f t="shared" si="2"/>
        <v>0</v>
      </c>
      <c r="N17" s="117">
        <f t="shared" si="2"/>
        <v>12261445.939351222</v>
      </c>
      <c r="O17" s="117">
        <f t="shared" si="2"/>
        <v>10575755</v>
      </c>
      <c r="P17" s="117">
        <f t="shared" si="2"/>
        <v>1686848.6428242226</v>
      </c>
      <c r="Q17" s="117">
        <f t="shared" si="2"/>
        <v>0</v>
      </c>
      <c r="R17" s="117"/>
      <c r="S17" s="118">
        <f t="shared" si="3"/>
        <v>100.01094796747844</v>
      </c>
      <c r="T17" s="118">
        <f t="shared" si="4"/>
        <v>86.252103155784781</v>
      </c>
      <c r="U17" s="125">
        <f t="shared" si="5"/>
        <v>1.0001094796747845</v>
      </c>
      <c r="V17" s="118"/>
      <c r="W17" s="119">
        <f>S17/100*L17</f>
        <v>10575755</v>
      </c>
      <c r="X17" s="119">
        <f>T17/100*N17</f>
        <v>10575755</v>
      </c>
      <c r="Y17" s="119">
        <f>V17/100*O17</f>
        <v>0</v>
      </c>
      <c r="Z17" s="120">
        <f>O17</f>
        <v>10575755</v>
      </c>
      <c r="AA17" s="120">
        <f>IFERROR(W17/Z17,"")</f>
        <v>1</v>
      </c>
      <c r="AB17" s="120" t="str">
        <f>IF(AA17=0,"No Work",IF(AA17&lt;1,"Cost Overrun",IF(AA17=1,"On Budget",IF(AA17&gt;1,"Under Budget","-"))))</f>
        <v>On Budget</v>
      </c>
      <c r="AC17" s="121">
        <f>IFERROR((L17-W17)/AA17, "")</f>
        <v>-1157.7034729998559</v>
      </c>
      <c r="AD17" s="121">
        <f>IFERROR((N17-X17)/AA17, "")</f>
        <v>1685690.9393512215</v>
      </c>
      <c r="AE17" s="121" t="str">
        <f>IFERROR((O17-Y17)/AB17, "")</f>
        <v/>
      </c>
      <c r="AF17" s="122">
        <f>Z17+AC17</f>
        <v>10574597.296527</v>
      </c>
      <c r="AG17" s="122">
        <f>L17-AF17</f>
        <v>0</v>
      </c>
      <c r="AH17" s="123">
        <f>L17-N17</f>
        <v>-1686848.6428242214</v>
      </c>
      <c r="AI17" s="123">
        <f>N17-O17</f>
        <v>1685690.9393512215</v>
      </c>
      <c r="AJ17" s="123"/>
      <c r="AK17" s="112">
        <f>IFERROR(AH17/L17, "")</f>
        <v>-0.15951894862022128</v>
      </c>
      <c r="AL17" s="112">
        <f>IFERROR(AI17/N17, "")</f>
        <v>0.13747896844215218</v>
      </c>
      <c r="AM17" s="112">
        <f>IFERROR(AJ17/O17, "")</f>
        <v>0</v>
      </c>
    </row>
    <row r="18" spans="1:39" ht="87">
      <c r="A18" s="109">
        <v>16</v>
      </c>
      <c r="B18" s="130" t="s">
        <v>178</v>
      </c>
      <c r="C18" s="111" t="s">
        <v>179</v>
      </c>
      <c r="D18" s="112">
        <v>415</v>
      </c>
      <c r="E18" s="113">
        <v>1075</v>
      </c>
      <c r="F18" s="113">
        <v>0</v>
      </c>
      <c r="G18" s="114">
        <f>'[2]DORMITORY MB'!H827</f>
        <v>1651.253750000001</v>
      </c>
      <c r="H18" s="115">
        <v>1651.25</v>
      </c>
      <c r="I18" s="116">
        <f t="shared" si="0"/>
        <v>576.25375000000099</v>
      </c>
      <c r="J18" s="116">
        <f t="shared" si="1"/>
        <v>0</v>
      </c>
      <c r="K18" s="116"/>
      <c r="L18" s="117">
        <f t="shared" si="2"/>
        <v>446125</v>
      </c>
      <c r="M18" s="117">
        <f t="shared" si="2"/>
        <v>0</v>
      </c>
      <c r="N18" s="117">
        <f t="shared" si="2"/>
        <v>685270.30625000037</v>
      </c>
      <c r="O18" s="117">
        <f t="shared" si="2"/>
        <v>685268.75</v>
      </c>
      <c r="P18" s="117">
        <f t="shared" si="2"/>
        <v>239145.3062500004</v>
      </c>
      <c r="Q18" s="117">
        <f t="shared" si="2"/>
        <v>0</v>
      </c>
      <c r="R18" s="117"/>
      <c r="S18" s="118">
        <f t="shared" si="3"/>
        <v>153.6046511627907</v>
      </c>
      <c r="T18" s="118">
        <f t="shared" si="4"/>
        <v>99.999772899834383</v>
      </c>
      <c r="U18" s="125">
        <f t="shared" si="5"/>
        <v>1.536046511627907</v>
      </c>
      <c r="V18" s="118"/>
      <c r="W18" s="119">
        <f>S18/100*L18</f>
        <v>685268.75</v>
      </c>
      <c r="X18" s="119">
        <f>T18/100*N18</f>
        <v>685268.75</v>
      </c>
      <c r="Y18" s="119">
        <f>V18/100*O18</f>
        <v>0</v>
      </c>
      <c r="Z18" s="120">
        <f>O18</f>
        <v>685268.75</v>
      </c>
      <c r="AA18" s="120">
        <f>IFERROR(W18/Z18,"")</f>
        <v>1</v>
      </c>
      <c r="AB18" s="120" t="str">
        <f>IF(AA18=0,"No Work",IF(AA18&lt;1,"Cost Overrun",IF(AA18=1,"On Budget",IF(AA18&gt;1,"Under Budget","-"))))</f>
        <v>On Budget</v>
      </c>
      <c r="AC18" s="121">
        <f>IFERROR((L18-W18)/AA18, "")</f>
        <v>-239143.75</v>
      </c>
      <c r="AD18" s="121">
        <f>IFERROR((N18-X18)/AA18, "")</f>
        <v>1.556250000372529</v>
      </c>
      <c r="AE18" s="121" t="str">
        <f>IFERROR((O18-Y18)/AB18, "")</f>
        <v/>
      </c>
      <c r="AF18" s="122">
        <f>Z18+AC18</f>
        <v>446125</v>
      </c>
      <c r="AG18" s="122">
        <f>L18-AF18</f>
        <v>0</v>
      </c>
      <c r="AH18" s="123">
        <f>L18-N18</f>
        <v>-239145.30625000037</v>
      </c>
      <c r="AI18" s="123">
        <f>N18-O18</f>
        <v>1.556250000372529</v>
      </c>
      <c r="AJ18" s="123"/>
      <c r="AK18" s="112">
        <f>IFERROR(AH18/L18, "")</f>
        <v>-0.5360500000000008</v>
      </c>
      <c r="AL18" s="112">
        <f>IFERROR(AI18/N18, "")</f>
        <v>2.2710016561038293E-6</v>
      </c>
      <c r="AM18" s="112">
        <f>IFERROR(AJ18/O18, "")</f>
        <v>0</v>
      </c>
    </row>
    <row r="19" spans="1:39">
      <c r="A19" s="109">
        <v>17</v>
      </c>
      <c r="B19" s="124" t="s">
        <v>171</v>
      </c>
      <c r="C19" s="111" t="s">
        <v>179</v>
      </c>
      <c r="D19" s="112">
        <v>430</v>
      </c>
      <c r="E19" s="113">
        <v>1680</v>
      </c>
      <c r="F19" s="113">
        <v>0</v>
      </c>
      <c r="G19" s="114">
        <f>'[2]DORMITORY MB'!H985</f>
        <v>1933.9838000000002</v>
      </c>
      <c r="H19" s="115">
        <f>13+1867.76+25</f>
        <v>1905.76</v>
      </c>
      <c r="I19" s="116">
        <f t="shared" si="0"/>
        <v>253.9838000000002</v>
      </c>
      <c r="J19" s="116">
        <f t="shared" si="1"/>
        <v>0</v>
      </c>
      <c r="K19" s="116"/>
      <c r="L19" s="117">
        <f t="shared" si="2"/>
        <v>722400</v>
      </c>
      <c r="M19" s="117">
        <f t="shared" si="2"/>
        <v>0</v>
      </c>
      <c r="N19" s="117">
        <f t="shared" si="2"/>
        <v>831613.0340000001</v>
      </c>
      <c r="O19" s="117">
        <f t="shared" si="2"/>
        <v>819476.8</v>
      </c>
      <c r="P19" s="117">
        <f t="shared" si="2"/>
        <v>109213.03400000009</v>
      </c>
      <c r="Q19" s="117">
        <f t="shared" si="2"/>
        <v>0</v>
      </c>
      <c r="R19" s="117"/>
      <c r="S19" s="118">
        <f t="shared" si="3"/>
        <v>113.43809523809523</v>
      </c>
      <c r="T19" s="118">
        <f t="shared" si="4"/>
        <v>98.540639275261753</v>
      </c>
      <c r="U19" s="125">
        <f t="shared" si="5"/>
        <v>1.1343809523809523</v>
      </c>
      <c r="V19" s="118"/>
      <c r="W19" s="119"/>
      <c r="X19" s="119"/>
      <c r="Y19" s="119"/>
      <c r="Z19" s="120"/>
      <c r="AA19" s="120"/>
      <c r="AB19" s="120"/>
      <c r="AC19" s="121"/>
      <c r="AD19" s="121"/>
      <c r="AE19" s="121"/>
      <c r="AF19" s="122"/>
      <c r="AG19" s="122"/>
      <c r="AH19" s="123"/>
      <c r="AI19" s="123"/>
      <c r="AJ19" s="123"/>
      <c r="AK19" s="112"/>
      <c r="AL19" s="112"/>
      <c r="AM19" s="112"/>
    </row>
    <row r="20" spans="1:39">
      <c r="A20" s="109">
        <v>18</v>
      </c>
      <c r="B20" s="124" t="s">
        <v>172</v>
      </c>
      <c r="C20" s="111" t="s">
        <v>179</v>
      </c>
      <c r="D20" s="112">
        <f>D19+25</f>
        <v>455</v>
      </c>
      <c r="E20" s="113">
        <v>1680</v>
      </c>
      <c r="F20" s="113">
        <v>0</v>
      </c>
      <c r="G20" s="114">
        <f>'[2]DORMITORY MB'!H1141</f>
        <v>1933.9838000000002</v>
      </c>
      <c r="H20" s="115">
        <f>1680.26+55.32</f>
        <v>1735.58</v>
      </c>
      <c r="I20" s="116">
        <f t="shared" si="0"/>
        <v>253.9838000000002</v>
      </c>
      <c r="J20" s="116">
        <f t="shared" si="1"/>
        <v>0</v>
      </c>
      <c r="K20" s="116"/>
      <c r="L20" s="117">
        <f t="shared" ref="L20:Q51" si="6">E20*$D20</f>
        <v>764400</v>
      </c>
      <c r="M20" s="117">
        <f t="shared" si="6"/>
        <v>0</v>
      </c>
      <c r="N20" s="117">
        <f t="shared" si="6"/>
        <v>879962.62900000007</v>
      </c>
      <c r="O20" s="117">
        <f t="shared" si="6"/>
        <v>789688.9</v>
      </c>
      <c r="P20" s="117">
        <f t="shared" si="6"/>
        <v>115562.62900000009</v>
      </c>
      <c r="Q20" s="117">
        <f t="shared" si="6"/>
        <v>0</v>
      </c>
      <c r="R20" s="117"/>
      <c r="S20" s="118">
        <f t="shared" si="3"/>
        <v>103.30833333333334</v>
      </c>
      <c r="T20" s="118">
        <f t="shared" si="4"/>
        <v>89.741186043026815</v>
      </c>
      <c r="U20" s="125">
        <f t="shared" si="5"/>
        <v>1.0330833333333334</v>
      </c>
      <c r="V20" s="118"/>
      <c r="W20" s="119"/>
      <c r="X20" s="119"/>
      <c r="Y20" s="119"/>
      <c r="Z20" s="120"/>
      <c r="AA20" s="120"/>
      <c r="AB20" s="120"/>
      <c r="AC20" s="121"/>
      <c r="AD20" s="121"/>
      <c r="AE20" s="121"/>
      <c r="AF20" s="122"/>
      <c r="AG20" s="122"/>
      <c r="AH20" s="123"/>
      <c r="AI20" s="123"/>
      <c r="AJ20" s="123"/>
      <c r="AK20" s="112"/>
      <c r="AL20" s="112"/>
      <c r="AM20" s="112"/>
    </row>
    <row r="21" spans="1:39">
      <c r="A21" s="109">
        <v>19</v>
      </c>
      <c r="B21" s="124" t="s">
        <v>173</v>
      </c>
      <c r="C21" s="111" t="s">
        <v>179</v>
      </c>
      <c r="D21" s="112">
        <f>455+25</f>
        <v>480</v>
      </c>
      <c r="E21" s="113">
        <v>1680</v>
      </c>
      <c r="F21" s="113">
        <v>0</v>
      </c>
      <c r="G21" s="114">
        <f>'[2]DORMITORY MB'!H1297</f>
        <v>1933.9838000000002</v>
      </c>
      <c r="H21" s="115">
        <v>1389.23</v>
      </c>
      <c r="I21" s="116">
        <f t="shared" si="0"/>
        <v>253.9838000000002</v>
      </c>
      <c r="J21" s="116">
        <f t="shared" si="1"/>
        <v>0</v>
      </c>
      <c r="K21" s="116"/>
      <c r="L21" s="117">
        <f t="shared" si="6"/>
        <v>806400</v>
      </c>
      <c r="M21" s="117">
        <f t="shared" si="6"/>
        <v>0</v>
      </c>
      <c r="N21" s="117">
        <f t="shared" si="6"/>
        <v>928312.22400000005</v>
      </c>
      <c r="O21" s="117">
        <f t="shared" si="6"/>
        <v>666830.4</v>
      </c>
      <c r="P21" s="117">
        <f t="shared" si="6"/>
        <v>121912.2240000001</v>
      </c>
      <c r="Q21" s="117">
        <f t="shared" si="6"/>
        <v>0</v>
      </c>
      <c r="R21" s="117"/>
      <c r="S21" s="118">
        <f t="shared" si="3"/>
        <v>82.692261904761907</v>
      </c>
      <c r="T21" s="118">
        <f t="shared" si="4"/>
        <v>71.83255619824736</v>
      </c>
      <c r="U21" s="125">
        <f t="shared" si="5"/>
        <v>0.8269226190476191</v>
      </c>
      <c r="V21" s="118"/>
      <c r="W21" s="119"/>
      <c r="X21" s="119"/>
      <c r="Y21" s="119"/>
      <c r="Z21" s="120"/>
      <c r="AA21" s="120"/>
      <c r="AB21" s="120"/>
      <c r="AC21" s="121"/>
      <c r="AD21" s="121"/>
      <c r="AE21" s="121"/>
      <c r="AF21" s="122"/>
      <c r="AG21" s="122"/>
      <c r="AH21" s="123"/>
      <c r="AI21" s="123"/>
      <c r="AJ21" s="123"/>
      <c r="AK21" s="112"/>
      <c r="AL21" s="112"/>
      <c r="AM21" s="112"/>
    </row>
    <row r="22" spans="1:39">
      <c r="A22" s="109">
        <v>20</v>
      </c>
      <c r="B22" s="124" t="s">
        <v>174</v>
      </c>
      <c r="C22" s="111" t="s">
        <v>179</v>
      </c>
      <c r="D22" s="112">
        <f>D21+25</f>
        <v>505</v>
      </c>
      <c r="E22" s="113">
        <v>1680</v>
      </c>
      <c r="F22" s="113">
        <v>0</v>
      </c>
      <c r="G22" s="114">
        <f>'[2]DORMITORY MB'!H1453</f>
        <v>1933.9838000000002</v>
      </c>
      <c r="H22" s="115">
        <v>846.42</v>
      </c>
      <c r="I22" s="116">
        <f t="shared" si="0"/>
        <v>253.9838000000002</v>
      </c>
      <c r="J22" s="116">
        <f t="shared" si="1"/>
        <v>0</v>
      </c>
      <c r="K22" s="116"/>
      <c r="L22" s="117">
        <f t="shared" si="6"/>
        <v>848400</v>
      </c>
      <c r="M22" s="117">
        <f t="shared" si="6"/>
        <v>0</v>
      </c>
      <c r="N22" s="117">
        <f t="shared" si="6"/>
        <v>976661.81900000013</v>
      </c>
      <c r="O22" s="117">
        <f t="shared" si="6"/>
        <v>427442.1</v>
      </c>
      <c r="P22" s="117">
        <f t="shared" si="6"/>
        <v>128261.81900000011</v>
      </c>
      <c r="Q22" s="117">
        <f t="shared" si="6"/>
        <v>0</v>
      </c>
      <c r="R22" s="117"/>
      <c r="S22" s="118">
        <f t="shared" si="3"/>
        <v>50.382142857142853</v>
      </c>
      <c r="T22" s="118">
        <f t="shared" si="4"/>
        <v>43.765619960208554</v>
      </c>
      <c r="U22" s="125">
        <f t="shared" si="5"/>
        <v>0.50382142857142853</v>
      </c>
      <c r="V22" s="118"/>
      <c r="W22" s="119"/>
      <c r="X22" s="119"/>
      <c r="Y22" s="119"/>
      <c r="Z22" s="120"/>
      <c r="AA22" s="120"/>
      <c r="AB22" s="120"/>
      <c r="AC22" s="121"/>
      <c r="AD22" s="121"/>
      <c r="AE22" s="121"/>
      <c r="AF22" s="122"/>
      <c r="AG22" s="122"/>
      <c r="AH22" s="123"/>
      <c r="AI22" s="123"/>
      <c r="AJ22" s="123"/>
      <c r="AK22" s="112"/>
      <c r="AL22" s="112"/>
      <c r="AM22" s="112"/>
    </row>
    <row r="23" spans="1:39">
      <c r="A23" s="109">
        <v>21</v>
      </c>
      <c r="B23" s="124" t="s">
        <v>175</v>
      </c>
      <c r="C23" s="111" t="s">
        <v>179</v>
      </c>
      <c r="D23" s="112">
        <f>D22+25</f>
        <v>530</v>
      </c>
      <c r="E23" s="113">
        <v>1680</v>
      </c>
      <c r="F23" s="113">
        <v>0</v>
      </c>
      <c r="G23" s="114">
        <f>'[2]DORMITORY MB'!H1609</f>
        <v>1933.9838000000002</v>
      </c>
      <c r="H23" s="115">
        <v>0</v>
      </c>
      <c r="I23" s="116">
        <f t="shared" si="0"/>
        <v>253.9838000000002</v>
      </c>
      <c r="J23" s="116">
        <f t="shared" si="1"/>
        <v>0</v>
      </c>
      <c r="K23" s="116"/>
      <c r="L23" s="117">
        <f t="shared" si="6"/>
        <v>890400</v>
      </c>
      <c r="M23" s="117">
        <f t="shared" si="6"/>
        <v>0</v>
      </c>
      <c r="N23" s="117">
        <f t="shared" si="6"/>
        <v>1025011.4140000001</v>
      </c>
      <c r="O23" s="117">
        <f t="shared" si="6"/>
        <v>0</v>
      </c>
      <c r="P23" s="117">
        <f t="shared" si="6"/>
        <v>134611.41400000011</v>
      </c>
      <c r="Q23" s="117">
        <f t="shared" si="6"/>
        <v>0</v>
      </c>
      <c r="R23" s="117"/>
      <c r="S23" s="118">
        <f t="shared" si="3"/>
        <v>0</v>
      </c>
      <c r="T23" s="118">
        <f t="shared" si="4"/>
        <v>0</v>
      </c>
      <c r="U23" s="125">
        <f t="shared" si="5"/>
        <v>0</v>
      </c>
      <c r="V23" s="118"/>
      <c r="W23" s="119"/>
      <c r="X23" s="119"/>
      <c r="Y23" s="119"/>
      <c r="Z23" s="120"/>
      <c r="AA23" s="120"/>
      <c r="AB23" s="120"/>
      <c r="AC23" s="121"/>
      <c r="AD23" s="121"/>
      <c r="AE23" s="121"/>
      <c r="AF23" s="122"/>
      <c r="AG23" s="122"/>
      <c r="AH23" s="123"/>
      <c r="AI23" s="123"/>
      <c r="AJ23" s="123"/>
      <c r="AK23" s="112"/>
      <c r="AL23" s="112"/>
      <c r="AM23" s="112"/>
    </row>
    <row r="24" spans="1:39" ht="87">
      <c r="A24" s="109">
        <v>22</v>
      </c>
      <c r="B24" s="130" t="s">
        <v>180</v>
      </c>
      <c r="C24" s="111" t="s">
        <v>163</v>
      </c>
      <c r="D24" s="112">
        <v>5790</v>
      </c>
      <c r="E24" s="113">
        <v>130</v>
      </c>
      <c r="F24" s="113">
        <v>0</v>
      </c>
      <c r="G24" s="114">
        <f>'[2]DORMITORY MB'!H1675</f>
        <v>102.46165699999999</v>
      </c>
      <c r="H24" s="115">
        <v>100.38</v>
      </c>
      <c r="I24" s="116">
        <f t="shared" si="0"/>
        <v>0</v>
      </c>
      <c r="J24" s="116">
        <f t="shared" si="1"/>
        <v>27.538343000000012</v>
      </c>
      <c r="K24" s="116"/>
      <c r="L24" s="117">
        <f t="shared" si="6"/>
        <v>752700</v>
      </c>
      <c r="M24" s="117">
        <f t="shared" si="6"/>
        <v>0</v>
      </c>
      <c r="N24" s="117">
        <f t="shared" si="6"/>
        <v>593252.99402999994</v>
      </c>
      <c r="O24" s="117">
        <f t="shared" si="6"/>
        <v>581200.19999999995</v>
      </c>
      <c r="P24" s="117">
        <f t="shared" si="6"/>
        <v>0</v>
      </c>
      <c r="Q24" s="117">
        <f t="shared" si="6"/>
        <v>159447.00597000006</v>
      </c>
      <c r="R24" s="117"/>
      <c r="S24" s="118">
        <f t="shared" si="3"/>
        <v>77.215384615384608</v>
      </c>
      <c r="T24" s="118">
        <f t="shared" si="4"/>
        <v>97.968355128201765</v>
      </c>
      <c r="U24" s="125">
        <f t="shared" si="5"/>
        <v>0.77215384615384608</v>
      </c>
      <c r="V24" s="118"/>
      <c r="W24" s="119"/>
      <c r="X24" s="119"/>
      <c r="Y24" s="119"/>
      <c r="Z24" s="120"/>
      <c r="AA24" s="120"/>
      <c r="AB24" s="120"/>
      <c r="AC24" s="121"/>
      <c r="AD24" s="121"/>
      <c r="AE24" s="121"/>
      <c r="AF24" s="122"/>
      <c r="AG24" s="122"/>
      <c r="AH24" s="123"/>
      <c r="AI24" s="123"/>
      <c r="AJ24" s="123"/>
      <c r="AK24" s="112"/>
      <c r="AL24" s="112"/>
      <c r="AM24" s="112"/>
    </row>
    <row r="25" spans="1:39">
      <c r="A25" s="109">
        <v>23</v>
      </c>
      <c r="B25" s="124" t="s">
        <v>171</v>
      </c>
      <c r="C25" s="111" t="s">
        <v>163</v>
      </c>
      <c r="D25" s="112">
        <v>5790</v>
      </c>
      <c r="E25" s="113">
        <v>80</v>
      </c>
      <c r="F25" s="113">
        <v>0</v>
      </c>
      <c r="G25" s="114">
        <f>'[2]DORMITORY MB'!H1696</f>
        <v>73.479825000000005</v>
      </c>
      <c r="H25" s="115">
        <v>43.86</v>
      </c>
      <c r="I25" s="116">
        <f t="shared" si="0"/>
        <v>0</v>
      </c>
      <c r="J25" s="116">
        <f t="shared" si="1"/>
        <v>6.5201749999999947</v>
      </c>
      <c r="K25" s="116"/>
      <c r="L25" s="117">
        <f t="shared" si="6"/>
        <v>463200</v>
      </c>
      <c r="M25" s="117">
        <f t="shared" si="6"/>
        <v>0</v>
      </c>
      <c r="N25" s="117">
        <f t="shared" si="6"/>
        <v>425448.18675000005</v>
      </c>
      <c r="O25" s="117">
        <f t="shared" si="6"/>
        <v>253949.4</v>
      </c>
      <c r="P25" s="117">
        <f t="shared" si="6"/>
        <v>0</v>
      </c>
      <c r="Q25" s="117">
        <f t="shared" si="6"/>
        <v>37751.81324999997</v>
      </c>
      <c r="R25" s="117"/>
      <c r="S25" s="118">
        <f t="shared" si="3"/>
        <v>54.825000000000003</v>
      </c>
      <c r="T25" s="118">
        <f t="shared" si="4"/>
        <v>59.689853643500101</v>
      </c>
      <c r="U25" s="125">
        <f t="shared" si="5"/>
        <v>0.54825000000000002</v>
      </c>
      <c r="V25" s="118"/>
      <c r="W25" s="119"/>
      <c r="X25" s="119"/>
      <c r="Y25" s="119"/>
      <c r="Z25" s="120"/>
      <c r="AA25" s="120"/>
      <c r="AB25" s="120"/>
      <c r="AC25" s="121"/>
      <c r="AD25" s="121"/>
      <c r="AE25" s="121"/>
      <c r="AF25" s="122"/>
      <c r="AG25" s="122"/>
      <c r="AH25" s="123"/>
      <c r="AI25" s="123"/>
      <c r="AJ25" s="123"/>
      <c r="AK25" s="112"/>
      <c r="AL25" s="112"/>
      <c r="AM25" s="112"/>
    </row>
    <row r="26" spans="1:39">
      <c r="A26" s="109">
        <v>24</v>
      </c>
      <c r="B26" s="124" t="s">
        <v>172</v>
      </c>
      <c r="C26" s="111" t="s">
        <v>163</v>
      </c>
      <c r="D26" s="112">
        <v>5940</v>
      </c>
      <c r="E26" s="113">
        <v>80</v>
      </c>
      <c r="F26" s="113">
        <v>0</v>
      </c>
      <c r="G26" s="114">
        <f>'[2]DORMITORY MB'!H1715</f>
        <v>73.479825000000005</v>
      </c>
      <c r="H26" s="115">
        <v>28.63</v>
      </c>
      <c r="I26" s="116">
        <f t="shared" si="0"/>
        <v>0</v>
      </c>
      <c r="J26" s="116">
        <f t="shared" si="1"/>
        <v>6.5201749999999947</v>
      </c>
      <c r="K26" s="116"/>
      <c r="L26" s="117">
        <f t="shared" si="6"/>
        <v>475200</v>
      </c>
      <c r="M26" s="117">
        <f t="shared" si="6"/>
        <v>0</v>
      </c>
      <c r="N26" s="117">
        <f t="shared" si="6"/>
        <v>436470.16050000006</v>
      </c>
      <c r="O26" s="117">
        <f t="shared" si="6"/>
        <v>170062.19999999998</v>
      </c>
      <c r="P26" s="117">
        <f t="shared" si="6"/>
        <v>0</v>
      </c>
      <c r="Q26" s="117">
        <f t="shared" si="6"/>
        <v>38729.839499999965</v>
      </c>
      <c r="R26" s="117"/>
      <c r="S26" s="118">
        <f t="shared" si="3"/>
        <v>35.787500000000001</v>
      </c>
      <c r="T26" s="118">
        <f t="shared" si="4"/>
        <v>38.963075919138348</v>
      </c>
      <c r="U26" s="125">
        <f t="shared" si="5"/>
        <v>0.357875</v>
      </c>
      <c r="V26" s="118"/>
      <c r="W26" s="119"/>
      <c r="X26" s="119"/>
      <c r="Y26" s="119"/>
      <c r="Z26" s="120"/>
      <c r="AA26" s="120"/>
      <c r="AB26" s="120"/>
      <c r="AC26" s="121"/>
      <c r="AD26" s="121"/>
      <c r="AE26" s="121"/>
      <c r="AF26" s="122"/>
      <c r="AG26" s="122"/>
      <c r="AH26" s="123"/>
      <c r="AI26" s="123"/>
      <c r="AJ26" s="123"/>
      <c r="AK26" s="112"/>
      <c r="AL26" s="112"/>
      <c r="AM26" s="112"/>
    </row>
    <row r="27" spans="1:39">
      <c r="A27" s="109">
        <v>25</v>
      </c>
      <c r="B27" s="124" t="s">
        <v>173</v>
      </c>
      <c r="C27" s="111" t="s">
        <v>163</v>
      </c>
      <c r="D27" s="112">
        <v>6090</v>
      </c>
      <c r="E27" s="113">
        <v>80</v>
      </c>
      <c r="F27" s="113">
        <v>0</v>
      </c>
      <c r="G27" s="114">
        <f>'[2]DORMITORY MB'!H1733</f>
        <v>73.479825000000005</v>
      </c>
      <c r="H27" s="115">
        <v>0</v>
      </c>
      <c r="I27" s="116">
        <f t="shared" si="0"/>
        <v>0</v>
      </c>
      <c r="J27" s="116">
        <f t="shared" si="1"/>
        <v>6.5201749999999947</v>
      </c>
      <c r="K27" s="116"/>
      <c r="L27" s="117">
        <f t="shared" si="6"/>
        <v>487200</v>
      </c>
      <c r="M27" s="117">
        <f t="shared" si="6"/>
        <v>0</v>
      </c>
      <c r="N27" s="117">
        <f t="shared" si="6"/>
        <v>447492.13425000006</v>
      </c>
      <c r="O27" s="117">
        <f t="shared" si="6"/>
        <v>0</v>
      </c>
      <c r="P27" s="117">
        <f t="shared" si="6"/>
        <v>0</v>
      </c>
      <c r="Q27" s="117">
        <f t="shared" si="6"/>
        <v>39707.865749999968</v>
      </c>
      <c r="R27" s="117"/>
      <c r="S27" s="118">
        <f t="shared" si="3"/>
        <v>0</v>
      </c>
      <c r="T27" s="118">
        <f t="shared" si="4"/>
        <v>0</v>
      </c>
      <c r="U27" s="125">
        <f t="shared" si="5"/>
        <v>0</v>
      </c>
      <c r="V27" s="118"/>
      <c r="W27" s="119"/>
      <c r="X27" s="119"/>
      <c r="Y27" s="119"/>
      <c r="Z27" s="120"/>
      <c r="AA27" s="120"/>
      <c r="AB27" s="120"/>
      <c r="AC27" s="121"/>
      <c r="AD27" s="121"/>
      <c r="AE27" s="121"/>
      <c r="AF27" s="122"/>
      <c r="AG27" s="122"/>
      <c r="AH27" s="123"/>
      <c r="AI27" s="123"/>
      <c r="AJ27" s="123"/>
      <c r="AK27" s="112"/>
      <c r="AL27" s="112"/>
      <c r="AM27" s="112"/>
    </row>
    <row r="28" spans="1:39">
      <c r="A28" s="109">
        <v>26</v>
      </c>
      <c r="B28" s="124" t="s">
        <v>174</v>
      </c>
      <c r="C28" s="111" t="s">
        <v>163</v>
      </c>
      <c r="D28" s="112">
        <v>6240</v>
      </c>
      <c r="E28" s="113">
        <v>80</v>
      </c>
      <c r="F28" s="113">
        <v>0</v>
      </c>
      <c r="G28" s="114">
        <f>'[2]DORMITORY MB'!H1751</f>
        <v>73.479825000000019</v>
      </c>
      <c r="H28" s="115">
        <v>0</v>
      </c>
      <c r="I28" s="116">
        <f t="shared" si="0"/>
        <v>0</v>
      </c>
      <c r="J28" s="116">
        <f t="shared" si="1"/>
        <v>6.5201749999999805</v>
      </c>
      <c r="K28" s="116"/>
      <c r="L28" s="117">
        <f t="shared" si="6"/>
        <v>499200</v>
      </c>
      <c r="M28" s="117">
        <f t="shared" si="6"/>
        <v>0</v>
      </c>
      <c r="N28" s="117">
        <f t="shared" si="6"/>
        <v>458514.10800000012</v>
      </c>
      <c r="O28" s="117">
        <f t="shared" si="6"/>
        <v>0</v>
      </c>
      <c r="P28" s="117">
        <f t="shared" si="6"/>
        <v>0</v>
      </c>
      <c r="Q28" s="117">
        <f t="shared" si="6"/>
        <v>40685.891999999876</v>
      </c>
      <c r="R28" s="117"/>
      <c r="S28" s="118">
        <f t="shared" si="3"/>
        <v>0</v>
      </c>
      <c r="T28" s="118">
        <f t="shared" si="4"/>
        <v>0</v>
      </c>
      <c r="U28" s="125">
        <f t="shared" si="5"/>
        <v>0</v>
      </c>
      <c r="V28" s="118"/>
      <c r="W28" s="119"/>
      <c r="X28" s="119"/>
      <c r="Y28" s="119"/>
      <c r="Z28" s="120"/>
      <c r="AA28" s="120"/>
      <c r="AB28" s="120"/>
      <c r="AC28" s="121"/>
      <c r="AD28" s="121"/>
      <c r="AE28" s="121"/>
      <c r="AF28" s="122"/>
      <c r="AG28" s="122"/>
      <c r="AH28" s="123"/>
      <c r="AI28" s="123"/>
      <c r="AJ28" s="123"/>
      <c r="AK28" s="112"/>
      <c r="AL28" s="112"/>
      <c r="AM28" s="112"/>
    </row>
    <row r="29" spans="1:39">
      <c r="A29" s="109">
        <v>27</v>
      </c>
      <c r="B29" s="124" t="s">
        <v>175</v>
      </c>
      <c r="C29" s="111" t="s">
        <v>163</v>
      </c>
      <c r="D29" s="112">
        <v>6390</v>
      </c>
      <c r="E29" s="113">
        <v>80</v>
      </c>
      <c r="F29" s="113">
        <v>0</v>
      </c>
      <c r="G29" s="114">
        <f>'[2]DORMITORY MB'!H1775</f>
        <v>92.81914500000002</v>
      </c>
      <c r="H29" s="115">
        <v>0</v>
      </c>
      <c r="I29" s="116">
        <f t="shared" si="0"/>
        <v>12.81914500000002</v>
      </c>
      <c r="J29" s="116">
        <f t="shared" si="1"/>
        <v>0</v>
      </c>
      <c r="K29" s="116"/>
      <c r="L29" s="117">
        <f t="shared" si="6"/>
        <v>511200</v>
      </c>
      <c r="M29" s="117">
        <f t="shared" si="6"/>
        <v>0</v>
      </c>
      <c r="N29" s="117">
        <f t="shared" si="6"/>
        <v>593114.33655000012</v>
      </c>
      <c r="O29" s="117">
        <f t="shared" si="6"/>
        <v>0</v>
      </c>
      <c r="P29" s="117">
        <f t="shared" si="6"/>
        <v>81914.336550000124</v>
      </c>
      <c r="Q29" s="117">
        <f t="shared" si="6"/>
        <v>0</v>
      </c>
      <c r="R29" s="117"/>
      <c r="S29" s="118">
        <f t="shared" si="3"/>
        <v>0</v>
      </c>
      <c r="T29" s="118">
        <f t="shared" si="4"/>
        <v>0</v>
      </c>
      <c r="U29" s="125">
        <f t="shared" si="5"/>
        <v>0</v>
      </c>
      <c r="V29" s="118"/>
      <c r="W29" s="119"/>
      <c r="X29" s="119"/>
      <c r="Y29" s="119"/>
      <c r="Z29" s="120"/>
      <c r="AA29" s="120"/>
      <c r="AB29" s="120"/>
      <c r="AC29" s="121"/>
      <c r="AD29" s="121"/>
      <c r="AE29" s="121"/>
      <c r="AF29" s="122"/>
      <c r="AG29" s="122"/>
      <c r="AH29" s="123"/>
      <c r="AI29" s="123"/>
      <c r="AJ29" s="123"/>
      <c r="AK29" s="112"/>
      <c r="AL29" s="112"/>
      <c r="AM29" s="112"/>
    </row>
    <row r="30" spans="1:39" ht="87">
      <c r="A30" s="109">
        <v>28</v>
      </c>
      <c r="B30" s="131" t="s">
        <v>181</v>
      </c>
      <c r="C30" s="111" t="s">
        <v>179</v>
      </c>
      <c r="D30" s="112">
        <v>785</v>
      </c>
      <c r="E30" s="113">
        <v>1170</v>
      </c>
      <c r="F30" s="113">
        <v>0</v>
      </c>
      <c r="G30" s="114">
        <f>'[2]DORMITORY MB'!H1796</f>
        <v>767.85389999999995</v>
      </c>
      <c r="H30" s="115">
        <v>356.26</v>
      </c>
      <c r="I30" s="116">
        <f t="shared" si="0"/>
        <v>0</v>
      </c>
      <c r="J30" s="116">
        <f t="shared" si="1"/>
        <v>402.14610000000005</v>
      </c>
      <c r="K30" s="116"/>
      <c r="L30" s="117">
        <f t="shared" si="6"/>
        <v>918450</v>
      </c>
      <c r="M30" s="117">
        <f t="shared" si="6"/>
        <v>0</v>
      </c>
      <c r="N30" s="117">
        <f t="shared" si="6"/>
        <v>602765.31149999995</v>
      </c>
      <c r="O30" s="117">
        <f t="shared" si="6"/>
        <v>279664.09999999998</v>
      </c>
      <c r="P30" s="117">
        <f t="shared" si="6"/>
        <v>0</v>
      </c>
      <c r="Q30" s="117">
        <f t="shared" si="6"/>
        <v>315684.68850000005</v>
      </c>
      <c r="R30" s="117"/>
      <c r="S30" s="118">
        <f t="shared" si="3"/>
        <v>30.449572649572648</v>
      </c>
      <c r="T30" s="118">
        <f t="shared" si="4"/>
        <v>46.396847108544996</v>
      </c>
      <c r="U30" s="125">
        <f t="shared" si="5"/>
        <v>0.30449572649572648</v>
      </c>
      <c r="V30" s="118"/>
      <c r="W30" s="119"/>
      <c r="X30" s="119"/>
      <c r="Y30" s="119"/>
      <c r="Z30" s="120"/>
      <c r="AA30" s="120"/>
      <c r="AB30" s="120"/>
      <c r="AC30" s="121"/>
      <c r="AD30" s="121"/>
      <c r="AE30" s="121"/>
      <c r="AF30" s="122"/>
      <c r="AG30" s="122"/>
      <c r="AH30" s="123"/>
      <c r="AI30" s="123"/>
      <c r="AJ30" s="123"/>
      <c r="AK30" s="112"/>
      <c r="AL30" s="112"/>
      <c r="AM30" s="112"/>
    </row>
    <row r="31" spans="1:39">
      <c r="A31" s="109">
        <v>29</v>
      </c>
      <c r="B31" s="124" t="s">
        <v>172</v>
      </c>
      <c r="C31" s="111" t="s">
        <v>179</v>
      </c>
      <c r="D31" s="112">
        <v>805</v>
      </c>
      <c r="E31" s="113">
        <v>1170</v>
      </c>
      <c r="F31" s="113">
        <v>0</v>
      </c>
      <c r="G31" s="114">
        <f>'[2]DORMITORY MB'!H1817</f>
        <v>767.85389999999995</v>
      </c>
      <c r="H31" s="115">
        <v>174.55</v>
      </c>
      <c r="I31" s="116">
        <f t="shared" si="0"/>
        <v>0</v>
      </c>
      <c r="J31" s="116">
        <f t="shared" si="1"/>
        <v>402.14610000000005</v>
      </c>
      <c r="K31" s="116"/>
      <c r="L31" s="117">
        <f t="shared" si="6"/>
        <v>941850</v>
      </c>
      <c r="M31" s="117">
        <f t="shared" si="6"/>
        <v>0</v>
      </c>
      <c r="N31" s="117">
        <f t="shared" si="6"/>
        <v>618122.38949999993</v>
      </c>
      <c r="O31" s="117">
        <f t="shared" si="6"/>
        <v>140512.75</v>
      </c>
      <c r="P31" s="117">
        <f t="shared" si="6"/>
        <v>0</v>
      </c>
      <c r="Q31" s="117">
        <f t="shared" si="6"/>
        <v>323727.61050000001</v>
      </c>
      <c r="R31" s="117"/>
      <c r="S31" s="118">
        <f t="shared" si="3"/>
        <v>14.918803418803419</v>
      </c>
      <c r="T31" s="118">
        <f t="shared" si="4"/>
        <v>22.732189027105289</v>
      </c>
      <c r="U31" s="125">
        <f t="shared" si="5"/>
        <v>0.1491880341880342</v>
      </c>
      <c r="V31" s="118"/>
      <c r="W31" s="119"/>
      <c r="X31" s="119"/>
      <c r="Y31" s="119"/>
      <c r="Z31" s="120"/>
      <c r="AA31" s="120"/>
      <c r="AB31" s="120"/>
      <c r="AC31" s="121"/>
      <c r="AD31" s="121"/>
      <c r="AE31" s="121"/>
      <c r="AF31" s="122"/>
      <c r="AG31" s="122"/>
      <c r="AH31" s="123"/>
      <c r="AI31" s="123"/>
      <c r="AJ31" s="123"/>
      <c r="AK31" s="112"/>
      <c r="AL31" s="112"/>
      <c r="AM31" s="112"/>
    </row>
    <row r="32" spans="1:39">
      <c r="A32" s="109">
        <v>30</v>
      </c>
      <c r="B32" s="124" t="s">
        <v>173</v>
      </c>
      <c r="C32" s="111" t="s">
        <v>179</v>
      </c>
      <c r="D32" s="112">
        <v>825</v>
      </c>
      <c r="E32" s="113">
        <v>1170</v>
      </c>
      <c r="F32" s="113">
        <v>0</v>
      </c>
      <c r="G32" s="114">
        <f>'[2]DORMITORY MB'!H1838</f>
        <v>767.85389999999995</v>
      </c>
      <c r="H32" s="115">
        <v>0</v>
      </c>
      <c r="I32" s="116">
        <f t="shared" si="0"/>
        <v>0</v>
      </c>
      <c r="J32" s="116">
        <f t="shared" si="1"/>
        <v>402.14610000000005</v>
      </c>
      <c r="K32" s="116"/>
      <c r="L32" s="117">
        <f t="shared" si="6"/>
        <v>965250</v>
      </c>
      <c r="M32" s="117">
        <f t="shared" si="6"/>
        <v>0</v>
      </c>
      <c r="N32" s="117">
        <f t="shared" si="6"/>
        <v>633479.46749999991</v>
      </c>
      <c r="O32" s="117">
        <f t="shared" si="6"/>
        <v>0</v>
      </c>
      <c r="P32" s="117">
        <f t="shared" si="6"/>
        <v>0</v>
      </c>
      <c r="Q32" s="117">
        <f t="shared" si="6"/>
        <v>331770.53250000003</v>
      </c>
      <c r="R32" s="117"/>
      <c r="S32" s="118">
        <f t="shared" si="3"/>
        <v>0</v>
      </c>
      <c r="T32" s="118">
        <f t="shared" si="4"/>
        <v>0</v>
      </c>
      <c r="U32" s="125">
        <f t="shared" si="5"/>
        <v>0</v>
      </c>
      <c r="V32" s="118"/>
      <c r="W32" s="119"/>
      <c r="X32" s="119"/>
      <c r="Y32" s="119"/>
      <c r="Z32" s="120"/>
      <c r="AA32" s="120"/>
      <c r="AB32" s="120"/>
      <c r="AC32" s="121"/>
      <c r="AD32" s="121"/>
      <c r="AE32" s="121"/>
      <c r="AF32" s="122"/>
      <c r="AG32" s="122"/>
      <c r="AH32" s="123"/>
      <c r="AI32" s="123"/>
      <c r="AJ32" s="123"/>
      <c r="AK32" s="112"/>
      <c r="AL32" s="112"/>
      <c r="AM32" s="112"/>
    </row>
    <row r="33" spans="1:39">
      <c r="A33" s="109">
        <v>31</v>
      </c>
      <c r="B33" s="124" t="s">
        <v>174</v>
      </c>
      <c r="C33" s="111" t="s">
        <v>179</v>
      </c>
      <c r="D33" s="112">
        <v>845</v>
      </c>
      <c r="E33" s="113">
        <v>1170</v>
      </c>
      <c r="F33" s="113">
        <v>0</v>
      </c>
      <c r="G33" s="114">
        <f>'[2]DORMITORY MB'!H1859</f>
        <v>767.85389999999995</v>
      </c>
      <c r="H33" s="115">
        <v>0</v>
      </c>
      <c r="I33" s="116">
        <f t="shared" si="0"/>
        <v>0</v>
      </c>
      <c r="J33" s="116">
        <f t="shared" si="1"/>
        <v>402.14610000000005</v>
      </c>
      <c r="K33" s="116"/>
      <c r="L33" s="117">
        <f t="shared" si="6"/>
        <v>988650</v>
      </c>
      <c r="M33" s="117">
        <f t="shared" si="6"/>
        <v>0</v>
      </c>
      <c r="N33" s="117">
        <f t="shared" si="6"/>
        <v>648836.54550000001</v>
      </c>
      <c r="O33" s="117">
        <f t="shared" si="6"/>
        <v>0</v>
      </c>
      <c r="P33" s="117">
        <f t="shared" si="6"/>
        <v>0</v>
      </c>
      <c r="Q33" s="117">
        <f t="shared" si="6"/>
        <v>339813.45450000005</v>
      </c>
      <c r="R33" s="117"/>
      <c r="S33" s="118">
        <f t="shared" si="3"/>
        <v>0</v>
      </c>
      <c r="T33" s="118">
        <f t="shared" si="4"/>
        <v>0</v>
      </c>
      <c r="U33" s="125">
        <f t="shared" si="5"/>
        <v>0</v>
      </c>
      <c r="V33" s="118"/>
      <c r="W33" s="119"/>
      <c r="X33" s="119"/>
      <c r="Y33" s="119"/>
      <c r="Z33" s="120"/>
      <c r="AA33" s="120"/>
      <c r="AB33" s="120"/>
      <c r="AC33" s="121"/>
      <c r="AD33" s="121"/>
      <c r="AE33" s="121"/>
      <c r="AF33" s="122"/>
      <c r="AG33" s="122"/>
      <c r="AH33" s="123"/>
      <c r="AI33" s="123"/>
      <c r="AJ33" s="123"/>
      <c r="AK33" s="112"/>
      <c r="AL33" s="112"/>
      <c r="AM33" s="112"/>
    </row>
    <row r="34" spans="1:39">
      <c r="A34" s="109">
        <v>32</v>
      </c>
      <c r="B34" s="124" t="s">
        <v>175</v>
      </c>
      <c r="C34" s="111" t="s">
        <v>179</v>
      </c>
      <c r="D34" s="112">
        <f>845+20</f>
        <v>865</v>
      </c>
      <c r="E34" s="113">
        <v>1170</v>
      </c>
      <c r="F34" s="113">
        <v>0</v>
      </c>
      <c r="G34" s="114">
        <f>'[2]DORMITORY MB'!H1880</f>
        <v>767.85389999999995</v>
      </c>
      <c r="H34" s="115">
        <v>0</v>
      </c>
      <c r="I34" s="116">
        <f t="shared" si="0"/>
        <v>0</v>
      </c>
      <c r="J34" s="116">
        <f t="shared" si="1"/>
        <v>402.14610000000005</v>
      </c>
      <c r="K34" s="116"/>
      <c r="L34" s="117">
        <f t="shared" si="6"/>
        <v>1012050</v>
      </c>
      <c r="M34" s="117">
        <f t="shared" si="6"/>
        <v>0</v>
      </c>
      <c r="N34" s="117">
        <f t="shared" si="6"/>
        <v>664193.62349999999</v>
      </c>
      <c r="O34" s="117">
        <f t="shared" si="6"/>
        <v>0</v>
      </c>
      <c r="P34" s="117">
        <f t="shared" si="6"/>
        <v>0</v>
      </c>
      <c r="Q34" s="117">
        <f t="shared" si="6"/>
        <v>347856.37650000001</v>
      </c>
      <c r="R34" s="117"/>
      <c r="S34" s="118">
        <f t="shared" si="3"/>
        <v>0</v>
      </c>
      <c r="T34" s="118">
        <f t="shared" si="4"/>
        <v>0</v>
      </c>
      <c r="U34" s="125">
        <f t="shared" si="5"/>
        <v>0</v>
      </c>
      <c r="V34" s="118"/>
      <c r="W34" s="119"/>
      <c r="X34" s="119"/>
      <c r="Y34" s="119"/>
      <c r="Z34" s="120"/>
      <c r="AA34" s="120"/>
      <c r="AB34" s="120"/>
      <c r="AC34" s="121"/>
      <c r="AD34" s="121"/>
      <c r="AE34" s="121"/>
      <c r="AF34" s="122"/>
      <c r="AG34" s="122"/>
      <c r="AH34" s="123"/>
      <c r="AI34" s="123"/>
      <c r="AJ34" s="123"/>
      <c r="AK34" s="112"/>
      <c r="AL34" s="112"/>
      <c r="AM34" s="112"/>
    </row>
    <row r="35" spans="1:39">
      <c r="A35" s="109">
        <v>33</v>
      </c>
      <c r="B35" s="124" t="s">
        <v>182</v>
      </c>
      <c r="C35" s="111" t="s">
        <v>179</v>
      </c>
      <c r="D35" s="112">
        <f>865+20</f>
        <v>885</v>
      </c>
      <c r="E35" s="113">
        <v>215</v>
      </c>
      <c r="F35" s="113">
        <v>0</v>
      </c>
      <c r="G35" s="114">
        <f>'[2]DORMITORY MB'!H1900</f>
        <v>328.66999999999996</v>
      </c>
      <c r="H35" s="115">
        <v>0</v>
      </c>
      <c r="I35" s="116">
        <f t="shared" si="0"/>
        <v>113.66999999999996</v>
      </c>
      <c r="J35" s="116">
        <f t="shared" si="1"/>
        <v>0</v>
      </c>
      <c r="K35" s="116"/>
      <c r="L35" s="117">
        <f t="shared" si="6"/>
        <v>190275</v>
      </c>
      <c r="M35" s="117">
        <f t="shared" si="6"/>
        <v>0</v>
      </c>
      <c r="N35" s="117">
        <f t="shared" si="6"/>
        <v>290872.94999999995</v>
      </c>
      <c r="O35" s="117">
        <f t="shared" si="6"/>
        <v>0</v>
      </c>
      <c r="P35" s="117">
        <f t="shared" si="6"/>
        <v>100597.94999999997</v>
      </c>
      <c r="Q35" s="117">
        <f t="shared" si="6"/>
        <v>0</v>
      </c>
      <c r="R35" s="117"/>
      <c r="S35" s="118">
        <f t="shared" si="3"/>
        <v>0</v>
      </c>
      <c r="T35" s="118">
        <f t="shared" si="4"/>
        <v>0</v>
      </c>
      <c r="U35" s="125">
        <f t="shared" si="5"/>
        <v>0</v>
      </c>
      <c r="V35" s="118"/>
      <c r="W35" s="119"/>
      <c r="X35" s="119"/>
      <c r="Y35" s="119"/>
      <c r="Z35" s="120"/>
      <c r="AA35" s="120"/>
      <c r="AB35" s="120"/>
      <c r="AC35" s="121"/>
      <c r="AD35" s="121"/>
      <c r="AE35" s="121"/>
      <c r="AF35" s="122"/>
      <c r="AG35" s="122"/>
      <c r="AH35" s="123"/>
      <c r="AI35" s="123"/>
      <c r="AJ35" s="123"/>
      <c r="AK35" s="112"/>
      <c r="AL35" s="112"/>
      <c r="AM35" s="112"/>
    </row>
    <row r="36" spans="1:39" ht="121.8">
      <c r="A36" s="109">
        <v>34</v>
      </c>
      <c r="B36" s="132" t="s">
        <v>183</v>
      </c>
      <c r="C36" s="111" t="s">
        <v>179</v>
      </c>
      <c r="D36" s="112">
        <v>270</v>
      </c>
      <c r="E36" s="113">
        <v>140</v>
      </c>
      <c r="F36" s="113">
        <v>0</v>
      </c>
      <c r="G36" s="113">
        <v>0</v>
      </c>
      <c r="H36" s="115">
        <v>0</v>
      </c>
      <c r="I36" s="116">
        <f t="shared" si="0"/>
        <v>0</v>
      </c>
      <c r="J36" s="116">
        <f t="shared" si="1"/>
        <v>140</v>
      </c>
      <c r="K36" s="116"/>
      <c r="L36" s="117">
        <f t="shared" si="6"/>
        <v>37800</v>
      </c>
      <c r="M36" s="117">
        <f t="shared" si="6"/>
        <v>0</v>
      </c>
      <c r="N36" s="117">
        <f t="shared" si="6"/>
        <v>0</v>
      </c>
      <c r="O36" s="117">
        <f t="shared" si="6"/>
        <v>0</v>
      </c>
      <c r="P36" s="117">
        <f t="shared" si="6"/>
        <v>0</v>
      </c>
      <c r="Q36" s="117">
        <f t="shared" si="6"/>
        <v>37800</v>
      </c>
      <c r="R36" s="117"/>
      <c r="S36" s="118"/>
      <c r="T36" s="118"/>
      <c r="U36" s="125"/>
      <c r="V36" s="118"/>
      <c r="W36" s="119"/>
      <c r="X36" s="119"/>
      <c r="Y36" s="119"/>
      <c r="Z36" s="120"/>
      <c r="AA36" s="120"/>
      <c r="AB36" s="120"/>
      <c r="AC36" s="121"/>
      <c r="AD36" s="121"/>
      <c r="AE36" s="121"/>
      <c r="AF36" s="122"/>
      <c r="AG36" s="122"/>
      <c r="AH36" s="123"/>
      <c r="AI36" s="123"/>
      <c r="AJ36" s="123"/>
      <c r="AK36" s="112"/>
      <c r="AL36" s="112"/>
      <c r="AM36" s="112"/>
    </row>
    <row r="37" spans="1:39">
      <c r="A37" s="109">
        <v>35</v>
      </c>
      <c r="B37" s="124" t="s">
        <v>171</v>
      </c>
      <c r="C37" s="111" t="s">
        <v>179</v>
      </c>
      <c r="D37" s="112">
        <v>285</v>
      </c>
      <c r="E37" s="113">
        <v>3325</v>
      </c>
      <c r="F37" s="113">
        <v>0</v>
      </c>
      <c r="G37" s="114">
        <f>'[2]DORMITORY MB'!H1931</f>
        <v>1733.7924999999998</v>
      </c>
      <c r="H37" s="115">
        <v>663</v>
      </c>
      <c r="I37" s="116">
        <f t="shared" si="0"/>
        <v>0</v>
      </c>
      <c r="J37" s="116">
        <f t="shared" si="1"/>
        <v>1591.2075000000002</v>
      </c>
      <c r="K37" s="116"/>
      <c r="L37" s="117">
        <f t="shared" si="6"/>
        <v>947625</v>
      </c>
      <c r="M37" s="117">
        <f t="shared" si="6"/>
        <v>0</v>
      </c>
      <c r="N37" s="117">
        <f t="shared" si="6"/>
        <v>494130.86249999993</v>
      </c>
      <c r="O37" s="117">
        <f t="shared" si="6"/>
        <v>188955</v>
      </c>
      <c r="P37" s="117">
        <f t="shared" si="6"/>
        <v>0</v>
      </c>
      <c r="Q37" s="117">
        <f t="shared" si="6"/>
        <v>453494.13750000007</v>
      </c>
      <c r="R37" s="117"/>
      <c r="S37" s="118">
        <f t="shared" si="3"/>
        <v>19.939849624060148</v>
      </c>
      <c r="T37" s="118">
        <f t="shared" si="4"/>
        <v>38.239870111331086</v>
      </c>
      <c r="U37" s="125">
        <f t="shared" si="5"/>
        <v>0.19939849624060149</v>
      </c>
      <c r="V37" s="118"/>
      <c r="W37" s="119"/>
      <c r="X37" s="119"/>
      <c r="Y37" s="119"/>
      <c r="Z37" s="120"/>
      <c r="AA37" s="120"/>
      <c r="AB37" s="120"/>
      <c r="AC37" s="121"/>
      <c r="AD37" s="121"/>
      <c r="AE37" s="121"/>
      <c r="AF37" s="122"/>
      <c r="AG37" s="122"/>
      <c r="AH37" s="123"/>
      <c r="AI37" s="123"/>
      <c r="AJ37" s="123"/>
      <c r="AK37" s="112"/>
      <c r="AL37" s="112"/>
      <c r="AM37" s="112"/>
    </row>
    <row r="38" spans="1:39">
      <c r="A38" s="109">
        <v>36</v>
      </c>
      <c r="B38" s="124" t="s">
        <v>172</v>
      </c>
      <c r="C38" s="111" t="s">
        <v>179</v>
      </c>
      <c r="D38" s="112">
        <f>D37+20</f>
        <v>305</v>
      </c>
      <c r="E38" s="113">
        <v>3325</v>
      </c>
      <c r="F38" s="113">
        <v>0</v>
      </c>
      <c r="G38" s="114">
        <f>'[2]DORMITORY MB'!H1962</f>
        <v>1733.7924999999998</v>
      </c>
      <c r="H38" s="115">
        <v>0</v>
      </c>
      <c r="I38" s="116">
        <f t="shared" si="0"/>
        <v>0</v>
      </c>
      <c r="J38" s="116">
        <f t="shared" si="1"/>
        <v>1591.2075000000002</v>
      </c>
      <c r="K38" s="116"/>
      <c r="L38" s="117">
        <f t="shared" si="6"/>
        <v>1014125</v>
      </c>
      <c r="M38" s="117">
        <f t="shared" si="6"/>
        <v>0</v>
      </c>
      <c r="N38" s="117">
        <f t="shared" si="6"/>
        <v>528806.71249999991</v>
      </c>
      <c r="O38" s="117">
        <f t="shared" si="6"/>
        <v>0</v>
      </c>
      <c r="P38" s="117">
        <f t="shared" si="6"/>
        <v>0</v>
      </c>
      <c r="Q38" s="117">
        <f t="shared" si="6"/>
        <v>485318.28750000003</v>
      </c>
      <c r="R38" s="117"/>
      <c r="S38" s="118">
        <f t="shared" si="3"/>
        <v>0</v>
      </c>
      <c r="T38" s="118">
        <f t="shared" si="4"/>
        <v>0</v>
      </c>
      <c r="U38" s="125">
        <f t="shared" si="5"/>
        <v>0</v>
      </c>
      <c r="V38" s="118"/>
      <c r="W38" s="119"/>
      <c r="X38" s="119"/>
      <c r="Y38" s="119"/>
      <c r="Z38" s="120"/>
      <c r="AA38" s="120"/>
      <c r="AB38" s="120"/>
      <c r="AC38" s="121"/>
      <c r="AD38" s="121"/>
      <c r="AE38" s="121"/>
      <c r="AF38" s="122"/>
      <c r="AG38" s="122"/>
      <c r="AH38" s="123"/>
      <c r="AI38" s="123"/>
      <c r="AJ38" s="123"/>
      <c r="AK38" s="112"/>
      <c r="AL38" s="112"/>
      <c r="AM38" s="112"/>
    </row>
    <row r="39" spans="1:39">
      <c r="A39" s="109">
        <v>37</v>
      </c>
      <c r="B39" s="124" t="s">
        <v>173</v>
      </c>
      <c r="C39" s="111" t="s">
        <v>179</v>
      </c>
      <c r="D39" s="112">
        <f>D38+20</f>
        <v>325</v>
      </c>
      <c r="E39" s="113">
        <v>3325</v>
      </c>
      <c r="F39" s="113">
        <v>0</v>
      </c>
      <c r="G39" s="114">
        <f>'[2]DORMITORY MB'!H1993</f>
        <v>1733.7924999999998</v>
      </c>
      <c r="H39" s="115">
        <v>0</v>
      </c>
      <c r="I39" s="116">
        <f t="shared" si="0"/>
        <v>0</v>
      </c>
      <c r="J39" s="116">
        <f t="shared" si="1"/>
        <v>1591.2075000000002</v>
      </c>
      <c r="K39" s="116"/>
      <c r="L39" s="117">
        <f t="shared" si="6"/>
        <v>1080625</v>
      </c>
      <c r="M39" s="117">
        <f t="shared" si="6"/>
        <v>0</v>
      </c>
      <c r="N39" s="117">
        <f t="shared" si="6"/>
        <v>563482.56249999988</v>
      </c>
      <c r="O39" s="117">
        <f t="shared" si="6"/>
        <v>0</v>
      </c>
      <c r="P39" s="117">
        <f t="shared" si="6"/>
        <v>0</v>
      </c>
      <c r="Q39" s="117">
        <f t="shared" si="6"/>
        <v>517142.43750000006</v>
      </c>
      <c r="R39" s="117"/>
      <c r="S39" s="118">
        <f t="shared" si="3"/>
        <v>0</v>
      </c>
      <c r="T39" s="118">
        <f t="shared" si="4"/>
        <v>0</v>
      </c>
      <c r="U39" s="125">
        <f t="shared" si="5"/>
        <v>0</v>
      </c>
      <c r="V39" s="118"/>
      <c r="W39" s="119"/>
      <c r="X39" s="119"/>
      <c r="Y39" s="119"/>
      <c r="Z39" s="120"/>
      <c r="AA39" s="120"/>
      <c r="AB39" s="120"/>
      <c r="AC39" s="121"/>
      <c r="AD39" s="121"/>
      <c r="AE39" s="121"/>
      <c r="AF39" s="122"/>
      <c r="AG39" s="122"/>
      <c r="AH39" s="123"/>
      <c r="AI39" s="123"/>
      <c r="AJ39" s="123"/>
      <c r="AK39" s="112"/>
      <c r="AL39" s="112"/>
      <c r="AM39" s="112"/>
    </row>
    <row r="40" spans="1:39">
      <c r="A40" s="109">
        <v>38</v>
      </c>
      <c r="B40" s="124" t="s">
        <v>174</v>
      </c>
      <c r="C40" s="111" t="s">
        <v>179</v>
      </c>
      <c r="D40" s="112">
        <f>D39+20</f>
        <v>345</v>
      </c>
      <c r="E40" s="113">
        <v>3325</v>
      </c>
      <c r="F40" s="113">
        <v>0</v>
      </c>
      <c r="G40" s="114">
        <f>'[2]DORMITORY MB'!H2024</f>
        <v>1733.7924999999998</v>
      </c>
      <c r="H40" s="115">
        <v>0</v>
      </c>
      <c r="I40" s="116">
        <f t="shared" si="0"/>
        <v>0</v>
      </c>
      <c r="J40" s="116">
        <f t="shared" si="1"/>
        <v>1591.2075000000002</v>
      </c>
      <c r="K40" s="116"/>
      <c r="L40" s="117">
        <f t="shared" si="6"/>
        <v>1147125</v>
      </c>
      <c r="M40" s="117">
        <f t="shared" si="6"/>
        <v>0</v>
      </c>
      <c r="N40" s="117">
        <f t="shared" si="6"/>
        <v>598158.41249999998</v>
      </c>
      <c r="O40" s="117">
        <f t="shared" si="6"/>
        <v>0</v>
      </c>
      <c r="P40" s="117">
        <f t="shared" si="6"/>
        <v>0</v>
      </c>
      <c r="Q40" s="117">
        <f t="shared" si="6"/>
        <v>548966.58750000002</v>
      </c>
      <c r="R40" s="117"/>
      <c r="S40" s="118">
        <f t="shared" si="3"/>
        <v>0</v>
      </c>
      <c r="T40" s="118">
        <f t="shared" si="4"/>
        <v>0</v>
      </c>
      <c r="U40" s="125">
        <f t="shared" si="5"/>
        <v>0</v>
      </c>
      <c r="V40" s="118"/>
      <c r="W40" s="119"/>
      <c r="X40" s="119"/>
      <c r="Y40" s="119"/>
      <c r="Z40" s="120"/>
      <c r="AA40" s="120"/>
      <c r="AB40" s="120"/>
      <c r="AC40" s="121"/>
      <c r="AD40" s="121"/>
      <c r="AE40" s="121"/>
      <c r="AF40" s="122"/>
      <c r="AG40" s="122"/>
      <c r="AH40" s="123"/>
      <c r="AI40" s="123"/>
      <c r="AJ40" s="123"/>
      <c r="AK40" s="112"/>
      <c r="AL40" s="112"/>
      <c r="AM40" s="112"/>
    </row>
    <row r="41" spans="1:39">
      <c r="A41" s="109">
        <v>39</v>
      </c>
      <c r="B41" s="124" t="s">
        <v>175</v>
      </c>
      <c r="C41" s="111" t="s">
        <v>179</v>
      </c>
      <c r="D41" s="112">
        <f>D40+20</f>
        <v>365</v>
      </c>
      <c r="E41" s="113">
        <v>3325</v>
      </c>
      <c r="F41" s="113">
        <v>0</v>
      </c>
      <c r="G41" s="114">
        <f>'[2]DORMITORY MB'!H2055</f>
        <v>1733.7924999999998</v>
      </c>
      <c r="H41" s="115">
        <v>0</v>
      </c>
      <c r="I41" s="116">
        <f t="shared" si="0"/>
        <v>0</v>
      </c>
      <c r="J41" s="116">
        <f t="shared" si="1"/>
        <v>1591.2075000000002</v>
      </c>
      <c r="K41" s="116"/>
      <c r="L41" s="117">
        <f t="shared" si="6"/>
        <v>1213625</v>
      </c>
      <c r="M41" s="117">
        <f t="shared" si="6"/>
        <v>0</v>
      </c>
      <c r="N41" s="117">
        <f t="shared" si="6"/>
        <v>632834.26249999995</v>
      </c>
      <c r="O41" s="117">
        <f t="shared" si="6"/>
        <v>0</v>
      </c>
      <c r="P41" s="117">
        <f t="shared" si="6"/>
        <v>0</v>
      </c>
      <c r="Q41" s="117">
        <f t="shared" si="6"/>
        <v>580790.73750000005</v>
      </c>
      <c r="R41" s="117"/>
      <c r="S41" s="118">
        <f t="shared" si="3"/>
        <v>0</v>
      </c>
      <c r="T41" s="118">
        <f t="shared" si="4"/>
        <v>0</v>
      </c>
      <c r="U41" s="125">
        <f t="shared" si="5"/>
        <v>0</v>
      </c>
      <c r="V41" s="118"/>
      <c r="W41" s="119"/>
      <c r="X41" s="119"/>
      <c r="Y41" s="119"/>
      <c r="Z41" s="120"/>
      <c r="AA41" s="120"/>
      <c r="AB41" s="120"/>
      <c r="AC41" s="121"/>
      <c r="AD41" s="121"/>
      <c r="AE41" s="121"/>
      <c r="AF41" s="122"/>
      <c r="AG41" s="122"/>
      <c r="AH41" s="123"/>
      <c r="AI41" s="123"/>
      <c r="AJ41" s="123"/>
      <c r="AK41" s="112"/>
      <c r="AL41" s="112"/>
      <c r="AM41" s="112"/>
    </row>
    <row r="42" spans="1:39">
      <c r="A42" s="109">
        <v>40</v>
      </c>
      <c r="B42" s="124" t="s">
        <v>182</v>
      </c>
      <c r="C42" s="111" t="s">
        <v>179</v>
      </c>
      <c r="D42" s="112">
        <f>D41+20</f>
        <v>385</v>
      </c>
      <c r="E42" s="113">
        <v>425</v>
      </c>
      <c r="F42" s="113">
        <v>0</v>
      </c>
      <c r="G42" s="114">
        <f>'[2]DORMITORY MB'!H2072</f>
        <v>326.81599999999997</v>
      </c>
      <c r="H42" s="115">
        <v>0</v>
      </c>
      <c r="I42" s="116">
        <f t="shared" si="0"/>
        <v>0</v>
      </c>
      <c r="J42" s="116">
        <f t="shared" si="1"/>
        <v>98.184000000000026</v>
      </c>
      <c r="K42" s="116"/>
      <c r="L42" s="117">
        <f t="shared" si="6"/>
        <v>163625</v>
      </c>
      <c r="M42" s="117">
        <f t="shared" si="6"/>
        <v>0</v>
      </c>
      <c r="N42" s="117">
        <f t="shared" si="6"/>
        <v>125824.15999999999</v>
      </c>
      <c r="O42" s="117">
        <f t="shared" si="6"/>
        <v>0</v>
      </c>
      <c r="P42" s="117">
        <f t="shared" si="6"/>
        <v>0</v>
      </c>
      <c r="Q42" s="117">
        <f t="shared" si="6"/>
        <v>37800.840000000011</v>
      </c>
      <c r="R42" s="117"/>
      <c r="S42" s="118">
        <f t="shared" si="3"/>
        <v>0</v>
      </c>
      <c r="T42" s="118">
        <f t="shared" si="4"/>
        <v>0</v>
      </c>
      <c r="U42" s="125">
        <f t="shared" si="5"/>
        <v>0</v>
      </c>
      <c r="V42" s="118"/>
      <c r="W42" s="119"/>
      <c r="X42" s="119"/>
      <c r="Y42" s="119"/>
      <c r="Z42" s="120"/>
      <c r="AA42" s="120"/>
      <c r="AB42" s="120"/>
      <c r="AC42" s="121"/>
      <c r="AD42" s="121"/>
      <c r="AE42" s="121"/>
      <c r="AF42" s="122"/>
      <c r="AG42" s="122"/>
      <c r="AH42" s="123"/>
      <c r="AI42" s="123"/>
      <c r="AJ42" s="123"/>
      <c r="AK42" s="112"/>
      <c r="AL42" s="112"/>
      <c r="AM42" s="112"/>
    </row>
    <row r="43" spans="1:39" ht="139.19999999999999">
      <c r="A43" s="109">
        <v>41</v>
      </c>
      <c r="B43" s="128" t="s">
        <v>184</v>
      </c>
      <c r="C43" s="111" t="s">
        <v>179</v>
      </c>
      <c r="D43" s="112">
        <v>510</v>
      </c>
      <c r="E43" s="113">
        <v>5235</v>
      </c>
      <c r="F43" s="113">
        <v>0</v>
      </c>
      <c r="G43" s="114">
        <f>'[2]DORMITORY MB'!H2102</f>
        <v>3780.0349999999999</v>
      </c>
      <c r="H43" s="115">
        <f>24.85+35</f>
        <v>59.85</v>
      </c>
      <c r="I43" s="116">
        <f t="shared" si="0"/>
        <v>0</v>
      </c>
      <c r="J43" s="116">
        <f t="shared" si="1"/>
        <v>1454.9650000000001</v>
      </c>
      <c r="K43" s="116"/>
      <c r="L43" s="117">
        <f t="shared" si="6"/>
        <v>2669850</v>
      </c>
      <c r="M43" s="117">
        <f t="shared" si="6"/>
        <v>0</v>
      </c>
      <c r="N43" s="117">
        <f t="shared" si="6"/>
        <v>1927817.8499999999</v>
      </c>
      <c r="O43" s="117">
        <f t="shared" si="6"/>
        <v>30523.5</v>
      </c>
      <c r="P43" s="117">
        <f t="shared" si="6"/>
        <v>0</v>
      </c>
      <c r="Q43" s="117">
        <f t="shared" si="6"/>
        <v>742032.15</v>
      </c>
      <c r="R43" s="117"/>
      <c r="S43" s="118">
        <f t="shared" si="3"/>
        <v>1.1432664756446993</v>
      </c>
      <c r="T43" s="118">
        <f t="shared" si="4"/>
        <v>1.5833186729752504</v>
      </c>
      <c r="U43" s="125">
        <f t="shared" si="5"/>
        <v>1.1432664756446992E-2</v>
      </c>
      <c r="V43" s="118"/>
      <c r="W43" s="119"/>
      <c r="X43" s="119"/>
      <c r="Y43" s="119"/>
      <c r="Z43" s="120"/>
      <c r="AA43" s="120"/>
      <c r="AB43" s="120"/>
      <c r="AC43" s="121"/>
      <c r="AD43" s="121"/>
      <c r="AE43" s="121"/>
      <c r="AF43" s="122"/>
      <c r="AG43" s="122"/>
      <c r="AH43" s="123"/>
      <c r="AI43" s="123"/>
      <c r="AJ43" s="123"/>
      <c r="AK43" s="112"/>
      <c r="AL43" s="112"/>
      <c r="AM43" s="112"/>
    </row>
    <row r="44" spans="1:39" ht="69.599999999999994">
      <c r="A44" s="109">
        <v>42</v>
      </c>
      <c r="B44" s="133" t="s">
        <v>185</v>
      </c>
      <c r="C44" s="111" t="s">
        <v>179</v>
      </c>
      <c r="D44" s="112">
        <v>675</v>
      </c>
      <c r="E44" s="113">
        <v>0</v>
      </c>
      <c r="F44" s="113">
        <v>0</v>
      </c>
      <c r="G44" s="114">
        <f>'[2]DORMITORY MB'!H2116</f>
        <v>559.20000000000005</v>
      </c>
      <c r="H44" s="115"/>
      <c r="I44" s="116">
        <f t="shared" si="0"/>
        <v>559.20000000000005</v>
      </c>
      <c r="J44" s="116">
        <f t="shared" si="1"/>
        <v>0</v>
      </c>
      <c r="K44" s="116"/>
      <c r="L44" s="117">
        <f t="shared" si="6"/>
        <v>0</v>
      </c>
      <c r="M44" s="117">
        <f t="shared" si="6"/>
        <v>0</v>
      </c>
      <c r="N44" s="117">
        <f t="shared" si="6"/>
        <v>377460.00000000006</v>
      </c>
      <c r="O44" s="117">
        <f t="shared" si="6"/>
        <v>0</v>
      </c>
      <c r="P44" s="117">
        <f t="shared" si="6"/>
        <v>377460.00000000006</v>
      </c>
      <c r="Q44" s="117">
        <f t="shared" si="6"/>
        <v>0</v>
      </c>
      <c r="R44" s="117"/>
      <c r="S44" s="118"/>
      <c r="T44" s="118"/>
      <c r="U44" s="125"/>
      <c r="V44" s="118"/>
      <c r="W44" s="119"/>
      <c r="X44" s="119"/>
      <c r="Y44" s="119"/>
      <c r="Z44" s="120"/>
      <c r="AA44" s="120"/>
      <c r="AB44" s="120"/>
      <c r="AC44" s="121"/>
      <c r="AD44" s="121"/>
      <c r="AE44" s="121"/>
      <c r="AF44" s="122"/>
      <c r="AG44" s="122"/>
      <c r="AH44" s="123"/>
      <c r="AI44" s="123"/>
      <c r="AJ44" s="123"/>
      <c r="AK44" s="112"/>
      <c r="AL44" s="112"/>
      <c r="AM44" s="112"/>
    </row>
    <row r="45" spans="1:39" ht="104.4">
      <c r="A45" s="109">
        <v>43</v>
      </c>
      <c r="B45" s="133" t="s">
        <v>186</v>
      </c>
      <c r="C45" s="111" t="s">
        <v>179</v>
      </c>
      <c r="D45" s="112">
        <v>157</v>
      </c>
      <c r="E45" s="113">
        <v>5235</v>
      </c>
      <c r="F45" s="113">
        <v>0</v>
      </c>
      <c r="G45" s="114">
        <f>'[2]DORMITORY MB'!H2145</f>
        <v>3780.0349999999999</v>
      </c>
      <c r="H45" s="115">
        <v>0</v>
      </c>
      <c r="I45" s="116">
        <f t="shared" si="0"/>
        <v>0</v>
      </c>
      <c r="J45" s="116">
        <f t="shared" si="1"/>
        <v>1454.9650000000001</v>
      </c>
      <c r="K45" s="116"/>
      <c r="L45" s="117">
        <f t="shared" si="6"/>
        <v>821895</v>
      </c>
      <c r="M45" s="117">
        <f t="shared" si="6"/>
        <v>0</v>
      </c>
      <c r="N45" s="117">
        <f t="shared" si="6"/>
        <v>593465.495</v>
      </c>
      <c r="O45" s="117">
        <f t="shared" si="6"/>
        <v>0</v>
      </c>
      <c r="P45" s="117">
        <f t="shared" si="6"/>
        <v>0</v>
      </c>
      <c r="Q45" s="117">
        <f t="shared" si="6"/>
        <v>228429.50500000003</v>
      </c>
      <c r="R45" s="117"/>
      <c r="S45" s="118">
        <f t="shared" si="3"/>
        <v>0</v>
      </c>
      <c r="T45" s="118">
        <f t="shared" si="4"/>
        <v>0</v>
      </c>
      <c r="U45" s="125">
        <f t="shared" si="5"/>
        <v>0</v>
      </c>
      <c r="V45" s="118"/>
      <c r="W45" s="119"/>
      <c r="X45" s="119"/>
      <c r="Y45" s="119"/>
      <c r="Z45" s="120"/>
      <c r="AA45" s="120"/>
      <c r="AB45" s="120"/>
      <c r="AC45" s="121"/>
      <c r="AD45" s="121"/>
      <c r="AE45" s="121"/>
      <c r="AF45" s="122"/>
      <c r="AG45" s="122"/>
      <c r="AH45" s="123"/>
      <c r="AI45" s="123"/>
      <c r="AJ45" s="123"/>
      <c r="AK45" s="112"/>
      <c r="AL45" s="112"/>
      <c r="AM45" s="112"/>
    </row>
    <row r="46" spans="1:39" ht="191.4">
      <c r="A46" s="109">
        <v>44</v>
      </c>
      <c r="B46" s="134" t="s">
        <v>187</v>
      </c>
      <c r="C46" s="111" t="s">
        <v>179</v>
      </c>
      <c r="D46" s="112">
        <v>157</v>
      </c>
      <c r="E46" s="113">
        <v>17190</v>
      </c>
      <c r="F46" s="113">
        <v>0</v>
      </c>
      <c r="G46" s="114">
        <f>'[2]DORMITORY MB'!H2191</f>
        <v>15553.437999999996</v>
      </c>
      <c r="H46" s="115">
        <v>0</v>
      </c>
      <c r="I46" s="116">
        <f t="shared" si="0"/>
        <v>0</v>
      </c>
      <c r="J46" s="116">
        <f t="shared" si="1"/>
        <v>1636.5620000000035</v>
      </c>
      <c r="K46" s="116"/>
      <c r="L46" s="117">
        <f t="shared" si="6"/>
        <v>2698830</v>
      </c>
      <c r="M46" s="117">
        <f t="shared" si="6"/>
        <v>0</v>
      </c>
      <c r="N46" s="117">
        <f t="shared" si="6"/>
        <v>2441889.7659999994</v>
      </c>
      <c r="O46" s="117">
        <f t="shared" si="6"/>
        <v>0</v>
      </c>
      <c r="P46" s="117">
        <f t="shared" si="6"/>
        <v>0</v>
      </c>
      <c r="Q46" s="117">
        <f t="shared" si="6"/>
        <v>256940.23400000055</v>
      </c>
      <c r="R46" s="117"/>
      <c r="S46" s="118">
        <f t="shared" si="3"/>
        <v>0</v>
      </c>
      <c r="T46" s="118">
        <f t="shared" si="4"/>
        <v>0</v>
      </c>
      <c r="U46" s="125">
        <f t="shared" si="5"/>
        <v>0</v>
      </c>
      <c r="V46" s="118"/>
      <c r="W46" s="119"/>
      <c r="X46" s="119"/>
      <c r="Y46" s="119"/>
      <c r="Z46" s="120"/>
      <c r="AA46" s="120"/>
      <c r="AB46" s="120"/>
      <c r="AC46" s="121"/>
      <c r="AD46" s="121"/>
      <c r="AE46" s="121"/>
      <c r="AF46" s="122"/>
      <c r="AG46" s="122"/>
      <c r="AH46" s="123"/>
      <c r="AI46" s="123"/>
      <c r="AJ46" s="123"/>
      <c r="AK46" s="112"/>
      <c r="AL46" s="112"/>
      <c r="AM46" s="112"/>
    </row>
    <row r="47" spans="1:39" ht="87">
      <c r="A47" s="109">
        <v>45</v>
      </c>
      <c r="B47" s="134" t="s">
        <v>188</v>
      </c>
      <c r="C47" s="111" t="s">
        <v>179</v>
      </c>
      <c r="D47" s="112">
        <v>985</v>
      </c>
      <c r="E47" s="113">
        <v>830</v>
      </c>
      <c r="F47" s="113">
        <v>0</v>
      </c>
      <c r="G47" s="114">
        <f>'[2]DORMITORY MB'!H2208</f>
        <v>655.37049999999999</v>
      </c>
      <c r="H47" s="115">
        <v>55.15</v>
      </c>
      <c r="I47" s="116">
        <f t="shared" si="0"/>
        <v>0</v>
      </c>
      <c r="J47" s="116">
        <f t="shared" si="1"/>
        <v>174.62950000000001</v>
      </c>
      <c r="K47" s="116"/>
      <c r="L47" s="117">
        <f t="shared" si="6"/>
        <v>817550</v>
      </c>
      <c r="M47" s="117">
        <f t="shared" si="6"/>
        <v>0</v>
      </c>
      <c r="N47" s="117">
        <f t="shared" si="6"/>
        <v>645539.9425</v>
      </c>
      <c r="O47" s="117">
        <f t="shared" si="6"/>
        <v>54322.75</v>
      </c>
      <c r="P47" s="117">
        <f t="shared" si="6"/>
        <v>0</v>
      </c>
      <c r="Q47" s="117">
        <f t="shared" si="6"/>
        <v>172010.0575</v>
      </c>
      <c r="R47" s="117"/>
      <c r="S47" s="118">
        <f t="shared" si="3"/>
        <v>6.6445783132530121</v>
      </c>
      <c r="T47" s="118">
        <f t="shared" si="4"/>
        <v>8.4150873437238936</v>
      </c>
      <c r="U47" s="125">
        <f t="shared" si="5"/>
        <v>6.644578313253012E-2</v>
      </c>
      <c r="V47" s="118"/>
      <c r="W47" s="119"/>
      <c r="X47" s="119"/>
      <c r="Y47" s="119"/>
      <c r="Z47" s="120"/>
      <c r="AA47" s="120"/>
      <c r="AB47" s="120"/>
      <c r="AC47" s="121"/>
      <c r="AD47" s="121"/>
      <c r="AE47" s="121"/>
      <c r="AF47" s="122"/>
      <c r="AG47" s="122"/>
      <c r="AH47" s="123"/>
      <c r="AI47" s="123"/>
      <c r="AJ47" s="123"/>
      <c r="AK47" s="112"/>
      <c r="AL47" s="112"/>
      <c r="AM47" s="112"/>
    </row>
    <row r="48" spans="1:39">
      <c r="A48" s="109">
        <v>46</v>
      </c>
      <c r="B48" s="124" t="s">
        <v>172</v>
      </c>
      <c r="C48" s="111" t="s">
        <v>179</v>
      </c>
      <c r="D48" s="112">
        <v>1015</v>
      </c>
      <c r="E48" s="113">
        <v>830</v>
      </c>
      <c r="F48" s="113">
        <v>0</v>
      </c>
      <c r="G48" s="114">
        <f>'[2]DORMITORY MB'!H2225</f>
        <v>655.37049999999999</v>
      </c>
      <c r="H48" s="115">
        <v>0</v>
      </c>
      <c r="I48" s="116">
        <f t="shared" si="0"/>
        <v>0</v>
      </c>
      <c r="J48" s="116">
        <f t="shared" si="1"/>
        <v>174.62950000000001</v>
      </c>
      <c r="K48" s="116"/>
      <c r="L48" s="117">
        <f t="shared" si="6"/>
        <v>842450</v>
      </c>
      <c r="M48" s="117">
        <f t="shared" si="6"/>
        <v>0</v>
      </c>
      <c r="N48" s="117">
        <f t="shared" si="6"/>
        <v>665201.0575</v>
      </c>
      <c r="O48" s="117">
        <f t="shared" si="6"/>
        <v>0</v>
      </c>
      <c r="P48" s="117">
        <f t="shared" si="6"/>
        <v>0</v>
      </c>
      <c r="Q48" s="117">
        <f t="shared" si="6"/>
        <v>177248.9425</v>
      </c>
      <c r="R48" s="117"/>
      <c r="S48" s="118">
        <f t="shared" si="3"/>
        <v>0</v>
      </c>
      <c r="T48" s="118">
        <f t="shared" si="4"/>
        <v>0</v>
      </c>
      <c r="U48" s="125">
        <f t="shared" si="5"/>
        <v>0</v>
      </c>
      <c r="V48" s="118"/>
      <c r="W48" s="119"/>
      <c r="X48" s="119"/>
      <c r="Y48" s="119"/>
      <c r="Z48" s="120"/>
      <c r="AA48" s="120"/>
      <c r="AB48" s="120"/>
      <c r="AC48" s="121"/>
      <c r="AD48" s="121"/>
      <c r="AE48" s="121"/>
      <c r="AF48" s="122"/>
      <c r="AG48" s="122"/>
      <c r="AH48" s="123"/>
      <c r="AI48" s="123"/>
      <c r="AJ48" s="123"/>
      <c r="AK48" s="112"/>
      <c r="AL48" s="112"/>
      <c r="AM48" s="112"/>
    </row>
    <row r="49" spans="1:39">
      <c r="A49" s="109">
        <v>47</v>
      </c>
      <c r="B49" s="124" t="s">
        <v>173</v>
      </c>
      <c r="C49" s="111" t="s">
        <v>179</v>
      </c>
      <c r="D49" s="112">
        <f>D48+30</f>
        <v>1045</v>
      </c>
      <c r="E49" s="113">
        <v>830</v>
      </c>
      <c r="F49" s="113">
        <v>0</v>
      </c>
      <c r="G49" s="114">
        <f>'[2]DORMITORY MB'!H2243</f>
        <v>655.37049999999999</v>
      </c>
      <c r="H49" s="115">
        <v>0</v>
      </c>
      <c r="I49" s="116">
        <f t="shared" si="0"/>
        <v>0</v>
      </c>
      <c r="J49" s="116">
        <f t="shared" si="1"/>
        <v>174.62950000000001</v>
      </c>
      <c r="K49" s="116"/>
      <c r="L49" s="117">
        <f t="shared" si="6"/>
        <v>867350</v>
      </c>
      <c r="M49" s="117">
        <f t="shared" si="6"/>
        <v>0</v>
      </c>
      <c r="N49" s="117">
        <f t="shared" si="6"/>
        <v>684862.17249999999</v>
      </c>
      <c r="O49" s="117">
        <f t="shared" si="6"/>
        <v>0</v>
      </c>
      <c r="P49" s="117">
        <f t="shared" si="6"/>
        <v>0</v>
      </c>
      <c r="Q49" s="117">
        <f t="shared" si="6"/>
        <v>182487.82750000001</v>
      </c>
      <c r="R49" s="117"/>
      <c r="S49" s="118">
        <f t="shared" si="3"/>
        <v>0</v>
      </c>
      <c r="T49" s="118">
        <f t="shared" si="4"/>
        <v>0</v>
      </c>
      <c r="U49" s="125">
        <f t="shared" si="5"/>
        <v>0</v>
      </c>
      <c r="V49" s="118"/>
      <c r="W49" s="119"/>
      <c r="X49" s="119"/>
      <c r="Y49" s="119"/>
      <c r="Z49" s="120"/>
      <c r="AA49" s="120"/>
      <c r="AB49" s="120"/>
      <c r="AC49" s="121"/>
      <c r="AD49" s="121"/>
      <c r="AE49" s="121"/>
      <c r="AF49" s="122"/>
      <c r="AG49" s="122"/>
      <c r="AH49" s="123"/>
      <c r="AI49" s="123"/>
      <c r="AJ49" s="123"/>
      <c r="AK49" s="112"/>
      <c r="AL49" s="112"/>
      <c r="AM49" s="112"/>
    </row>
    <row r="50" spans="1:39">
      <c r="A50" s="109">
        <v>48</v>
      </c>
      <c r="B50" s="124" t="s">
        <v>174</v>
      </c>
      <c r="C50" s="111" t="s">
        <v>179</v>
      </c>
      <c r="D50" s="112">
        <f>D49+30</f>
        <v>1075</v>
      </c>
      <c r="E50" s="113">
        <v>830</v>
      </c>
      <c r="F50" s="113">
        <v>0</v>
      </c>
      <c r="G50" s="114">
        <f>'[2]DORMITORY MB'!H2260</f>
        <v>655.37049999999999</v>
      </c>
      <c r="H50" s="115">
        <v>0</v>
      </c>
      <c r="I50" s="116">
        <f t="shared" si="0"/>
        <v>0</v>
      </c>
      <c r="J50" s="116">
        <f t="shared" si="1"/>
        <v>174.62950000000001</v>
      </c>
      <c r="K50" s="116"/>
      <c r="L50" s="117">
        <f t="shared" si="6"/>
        <v>892250</v>
      </c>
      <c r="M50" s="117">
        <f t="shared" si="6"/>
        <v>0</v>
      </c>
      <c r="N50" s="117">
        <f t="shared" si="6"/>
        <v>704523.28749999998</v>
      </c>
      <c r="O50" s="117">
        <f t="shared" si="6"/>
        <v>0</v>
      </c>
      <c r="P50" s="117">
        <f t="shared" si="6"/>
        <v>0</v>
      </c>
      <c r="Q50" s="117">
        <f t="shared" si="6"/>
        <v>187726.71249999999</v>
      </c>
      <c r="R50" s="117"/>
      <c r="S50" s="118">
        <f t="shared" si="3"/>
        <v>0</v>
      </c>
      <c r="T50" s="118">
        <f t="shared" si="4"/>
        <v>0</v>
      </c>
      <c r="U50" s="125">
        <f t="shared" si="5"/>
        <v>0</v>
      </c>
      <c r="V50" s="118"/>
      <c r="W50" s="119"/>
      <c r="X50" s="119"/>
      <c r="Y50" s="119"/>
      <c r="Z50" s="120"/>
      <c r="AA50" s="120"/>
      <c r="AB50" s="120"/>
      <c r="AC50" s="121"/>
      <c r="AD50" s="121"/>
      <c r="AE50" s="121"/>
      <c r="AF50" s="122"/>
      <c r="AG50" s="122"/>
      <c r="AH50" s="123"/>
      <c r="AI50" s="123"/>
      <c r="AJ50" s="123"/>
      <c r="AK50" s="112"/>
      <c r="AL50" s="112"/>
      <c r="AM50" s="112"/>
    </row>
    <row r="51" spans="1:39">
      <c r="A51" s="109">
        <v>49</v>
      </c>
      <c r="B51" s="124" t="s">
        <v>175</v>
      </c>
      <c r="C51" s="111" t="s">
        <v>179</v>
      </c>
      <c r="D51" s="112">
        <f>D50+30</f>
        <v>1105</v>
      </c>
      <c r="E51" s="113">
        <v>830</v>
      </c>
      <c r="F51" s="113">
        <v>0</v>
      </c>
      <c r="G51" s="114">
        <f>'[2]DORMITORY MB'!H2277</f>
        <v>655.37049999999999</v>
      </c>
      <c r="H51" s="115">
        <v>0</v>
      </c>
      <c r="I51" s="116">
        <f t="shared" si="0"/>
        <v>0</v>
      </c>
      <c r="J51" s="116">
        <f t="shared" si="1"/>
        <v>174.62950000000001</v>
      </c>
      <c r="K51" s="116"/>
      <c r="L51" s="117">
        <f t="shared" si="6"/>
        <v>917150</v>
      </c>
      <c r="M51" s="117">
        <f t="shared" si="6"/>
        <v>0</v>
      </c>
      <c r="N51" s="117">
        <f t="shared" si="6"/>
        <v>724184.40249999997</v>
      </c>
      <c r="O51" s="117">
        <f t="shared" si="6"/>
        <v>0</v>
      </c>
      <c r="P51" s="117">
        <f t="shared" si="6"/>
        <v>0</v>
      </c>
      <c r="Q51" s="117">
        <f t="shared" si="6"/>
        <v>192965.5975</v>
      </c>
      <c r="R51" s="117"/>
      <c r="S51" s="118">
        <f t="shared" si="3"/>
        <v>0</v>
      </c>
      <c r="T51" s="118">
        <f t="shared" si="4"/>
        <v>0</v>
      </c>
      <c r="U51" s="125">
        <f t="shared" si="5"/>
        <v>0</v>
      </c>
      <c r="V51" s="118"/>
      <c r="W51" s="119"/>
      <c r="X51" s="119"/>
      <c r="Y51" s="119"/>
      <c r="Z51" s="120"/>
      <c r="AA51" s="120"/>
      <c r="AB51" s="120"/>
      <c r="AC51" s="121"/>
      <c r="AD51" s="121"/>
      <c r="AE51" s="121"/>
      <c r="AF51" s="122"/>
      <c r="AG51" s="122"/>
      <c r="AH51" s="123"/>
      <c r="AI51" s="123"/>
      <c r="AJ51" s="123"/>
      <c r="AK51" s="112"/>
      <c r="AL51" s="112"/>
      <c r="AM51" s="112"/>
    </row>
    <row r="52" spans="1:39">
      <c r="A52" s="109">
        <v>50</v>
      </c>
      <c r="B52" s="124" t="s">
        <v>182</v>
      </c>
      <c r="C52" s="111" t="s">
        <v>179</v>
      </c>
      <c r="D52" s="112">
        <f>D51+30</f>
        <v>1135</v>
      </c>
      <c r="E52" s="113">
        <v>830</v>
      </c>
      <c r="F52" s="113">
        <v>0</v>
      </c>
      <c r="G52" s="114">
        <f>'[2]DORMITORY MB'!H2287</f>
        <v>10.1625</v>
      </c>
      <c r="H52" s="115">
        <v>0</v>
      </c>
      <c r="I52" s="116">
        <f t="shared" si="0"/>
        <v>0</v>
      </c>
      <c r="J52" s="116">
        <f t="shared" si="1"/>
        <v>819.83749999999998</v>
      </c>
      <c r="K52" s="116"/>
      <c r="L52" s="117">
        <f t="shared" ref="L52:Q71" si="7">E52*$D52</f>
        <v>942050</v>
      </c>
      <c r="M52" s="117">
        <f t="shared" si="7"/>
        <v>0</v>
      </c>
      <c r="N52" s="117">
        <f t="shared" si="7"/>
        <v>11534.4375</v>
      </c>
      <c r="O52" s="117">
        <f t="shared" si="7"/>
        <v>0</v>
      </c>
      <c r="P52" s="117">
        <f t="shared" si="7"/>
        <v>0</v>
      </c>
      <c r="Q52" s="117">
        <f t="shared" si="7"/>
        <v>930515.5625</v>
      </c>
      <c r="R52" s="117"/>
      <c r="S52" s="118">
        <f t="shared" si="3"/>
        <v>0</v>
      </c>
      <c r="T52" s="118">
        <f t="shared" si="4"/>
        <v>0</v>
      </c>
      <c r="U52" s="125">
        <f t="shared" si="5"/>
        <v>0</v>
      </c>
      <c r="V52" s="118"/>
      <c r="W52" s="119"/>
      <c r="X52" s="119"/>
      <c r="Y52" s="119"/>
      <c r="Z52" s="120"/>
      <c r="AA52" s="120"/>
      <c r="AB52" s="120"/>
      <c r="AC52" s="121"/>
      <c r="AD52" s="121"/>
      <c r="AE52" s="121"/>
      <c r="AF52" s="122"/>
      <c r="AG52" s="122"/>
      <c r="AH52" s="123"/>
      <c r="AI52" s="123"/>
      <c r="AJ52" s="123"/>
      <c r="AK52" s="112"/>
      <c r="AL52" s="112"/>
      <c r="AM52" s="112"/>
    </row>
    <row r="53" spans="1:39" ht="104.4">
      <c r="A53" s="109">
        <v>51</v>
      </c>
      <c r="B53" s="135" t="s">
        <v>189</v>
      </c>
      <c r="C53" s="111" t="s">
        <v>190</v>
      </c>
      <c r="D53" s="112">
        <v>145</v>
      </c>
      <c r="E53" s="113">
        <v>1865</v>
      </c>
      <c r="F53" s="113">
        <v>0</v>
      </c>
      <c r="G53" s="114">
        <f>'[2]DORMITORY MB'!H2312</f>
        <v>613.46</v>
      </c>
      <c r="H53" s="115">
        <v>45</v>
      </c>
      <c r="I53" s="116">
        <f t="shared" si="0"/>
        <v>0</v>
      </c>
      <c r="J53" s="116">
        <f t="shared" si="1"/>
        <v>1251.54</v>
      </c>
      <c r="K53" s="116"/>
      <c r="L53" s="117">
        <f t="shared" si="7"/>
        <v>270425</v>
      </c>
      <c r="M53" s="117">
        <f t="shared" si="7"/>
        <v>0</v>
      </c>
      <c r="N53" s="117">
        <f t="shared" si="7"/>
        <v>88951.700000000012</v>
      </c>
      <c r="O53" s="117">
        <f t="shared" si="7"/>
        <v>6525</v>
      </c>
      <c r="P53" s="117">
        <f t="shared" si="7"/>
        <v>0</v>
      </c>
      <c r="Q53" s="117">
        <f t="shared" si="7"/>
        <v>181473.3</v>
      </c>
      <c r="R53" s="117"/>
      <c r="S53" s="118">
        <f t="shared" si="3"/>
        <v>2.4128686327077746</v>
      </c>
      <c r="T53" s="118">
        <f t="shared" si="4"/>
        <v>7.3354415935839326</v>
      </c>
      <c r="U53" s="125">
        <f t="shared" si="5"/>
        <v>2.4128686327077747E-2</v>
      </c>
      <c r="V53" s="118"/>
      <c r="W53" s="119"/>
      <c r="X53" s="119"/>
      <c r="Y53" s="119"/>
      <c r="Z53" s="120"/>
      <c r="AA53" s="120"/>
      <c r="AB53" s="120"/>
      <c r="AC53" s="121"/>
      <c r="AD53" s="121"/>
      <c r="AE53" s="121"/>
      <c r="AF53" s="122"/>
      <c r="AG53" s="122"/>
      <c r="AH53" s="123"/>
      <c r="AI53" s="123"/>
      <c r="AJ53" s="123"/>
      <c r="AK53" s="112"/>
      <c r="AL53" s="112"/>
      <c r="AM53" s="112"/>
    </row>
    <row r="54" spans="1:39">
      <c r="A54" s="109">
        <v>52</v>
      </c>
      <c r="B54" s="124" t="s">
        <v>172</v>
      </c>
      <c r="C54" s="111" t="s">
        <v>190</v>
      </c>
      <c r="D54" s="112">
        <v>155</v>
      </c>
      <c r="E54" s="113">
        <v>1865</v>
      </c>
      <c r="F54" s="113">
        <v>0</v>
      </c>
      <c r="G54" s="114">
        <f>'[2]DORMITORY MB'!H2337</f>
        <v>613.46</v>
      </c>
      <c r="H54" s="115">
        <v>0</v>
      </c>
      <c r="I54" s="116">
        <f t="shared" si="0"/>
        <v>0</v>
      </c>
      <c r="J54" s="116">
        <f t="shared" si="1"/>
        <v>1251.54</v>
      </c>
      <c r="K54" s="116"/>
      <c r="L54" s="117">
        <f t="shared" si="7"/>
        <v>289075</v>
      </c>
      <c r="M54" s="117">
        <f t="shared" si="7"/>
        <v>0</v>
      </c>
      <c r="N54" s="117">
        <f t="shared" si="7"/>
        <v>95086.3</v>
      </c>
      <c r="O54" s="117">
        <f t="shared" si="7"/>
        <v>0</v>
      </c>
      <c r="P54" s="117">
        <f t="shared" si="7"/>
        <v>0</v>
      </c>
      <c r="Q54" s="117">
        <f t="shared" si="7"/>
        <v>193988.69999999998</v>
      </c>
      <c r="R54" s="117"/>
      <c r="S54" s="118">
        <f t="shared" si="3"/>
        <v>0</v>
      </c>
      <c r="T54" s="118">
        <f t="shared" si="4"/>
        <v>0</v>
      </c>
      <c r="U54" s="125">
        <f t="shared" si="5"/>
        <v>0</v>
      </c>
      <c r="V54" s="118"/>
      <c r="W54" s="119"/>
      <c r="X54" s="119"/>
      <c r="Y54" s="119"/>
      <c r="Z54" s="120"/>
      <c r="AA54" s="120"/>
      <c r="AB54" s="120"/>
      <c r="AC54" s="121"/>
      <c r="AD54" s="121"/>
      <c r="AE54" s="121"/>
      <c r="AF54" s="122"/>
      <c r="AG54" s="122"/>
      <c r="AH54" s="123"/>
      <c r="AI54" s="123"/>
      <c r="AJ54" s="123"/>
      <c r="AK54" s="112"/>
      <c r="AL54" s="112"/>
      <c r="AM54" s="112"/>
    </row>
    <row r="55" spans="1:39">
      <c r="A55" s="109">
        <v>53</v>
      </c>
      <c r="B55" s="124" t="s">
        <v>173</v>
      </c>
      <c r="C55" s="111" t="s">
        <v>190</v>
      </c>
      <c r="D55" s="112">
        <v>165</v>
      </c>
      <c r="E55" s="113">
        <v>1865</v>
      </c>
      <c r="F55" s="113">
        <v>0</v>
      </c>
      <c r="G55" s="114">
        <f>'[2]DORMITORY MB'!H2362</f>
        <v>613.46</v>
      </c>
      <c r="H55" s="115">
        <v>0</v>
      </c>
      <c r="I55" s="116">
        <f t="shared" si="0"/>
        <v>0</v>
      </c>
      <c r="J55" s="116">
        <f t="shared" si="1"/>
        <v>1251.54</v>
      </c>
      <c r="K55" s="116"/>
      <c r="L55" s="117">
        <f t="shared" si="7"/>
        <v>307725</v>
      </c>
      <c r="M55" s="117">
        <f t="shared" si="7"/>
        <v>0</v>
      </c>
      <c r="N55" s="117">
        <f t="shared" si="7"/>
        <v>101220.90000000001</v>
      </c>
      <c r="O55" s="117">
        <f t="shared" si="7"/>
        <v>0</v>
      </c>
      <c r="P55" s="117">
        <f t="shared" si="7"/>
        <v>0</v>
      </c>
      <c r="Q55" s="117">
        <f t="shared" si="7"/>
        <v>206504.1</v>
      </c>
      <c r="R55" s="117"/>
      <c r="S55" s="118">
        <f t="shared" si="3"/>
        <v>0</v>
      </c>
      <c r="T55" s="118">
        <f t="shared" si="4"/>
        <v>0</v>
      </c>
      <c r="U55" s="125">
        <f t="shared" si="5"/>
        <v>0</v>
      </c>
      <c r="V55" s="118"/>
      <c r="W55" s="119"/>
      <c r="X55" s="119"/>
      <c r="Y55" s="119"/>
      <c r="Z55" s="120"/>
      <c r="AA55" s="120"/>
      <c r="AB55" s="120"/>
      <c r="AC55" s="121"/>
      <c r="AD55" s="121"/>
      <c r="AE55" s="121"/>
      <c r="AF55" s="122"/>
      <c r="AG55" s="122"/>
      <c r="AH55" s="123"/>
      <c r="AI55" s="123"/>
      <c r="AJ55" s="123"/>
      <c r="AK55" s="112"/>
      <c r="AL55" s="112"/>
      <c r="AM55" s="112"/>
    </row>
    <row r="56" spans="1:39">
      <c r="A56" s="109">
        <v>54</v>
      </c>
      <c r="B56" s="124" t="s">
        <v>174</v>
      </c>
      <c r="C56" s="111" t="s">
        <v>190</v>
      </c>
      <c r="D56" s="112">
        <v>175</v>
      </c>
      <c r="E56" s="113">
        <v>1865</v>
      </c>
      <c r="F56" s="113">
        <v>0</v>
      </c>
      <c r="G56" s="114">
        <f>'[2]DORMITORY MB'!H2387</f>
        <v>613.46</v>
      </c>
      <c r="H56" s="115">
        <v>0</v>
      </c>
      <c r="I56" s="116">
        <f t="shared" si="0"/>
        <v>0</v>
      </c>
      <c r="J56" s="116">
        <f t="shared" si="1"/>
        <v>1251.54</v>
      </c>
      <c r="K56" s="116"/>
      <c r="L56" s="117">
        <f t="shared" si="7"/>
        <v>326375</v>
      </c>
      <c r="M56" s="117">
        <f t="shared" si="7"/>
        <v>0</v>
      </c>
      <c r="N56" s="117">
        <f t="shared" si="7"/>
        <v>107355.5</v>
      </c>
      <c r="O56" s="117">
        <f t="shared" si="7"/>
        <v>0</v>
      </c>
      <c r="P56" s="117">
        <f t="shared" si="7"/>
        <v>0</v>
      </c>
      <c r="Q56" s="117">
        <f t="shared" si="7"/>
        <v>219019.5</v>
      </c>
      <c r="R56" s="117"/>
      <c r="S56" s="118">
        <f t="shared" si="3"/>
        <v>0</v>
      </c>
      <c r="T56" s="118">
        <f t="shared" si="4"/>
        <v>0</v>
      </c>
      <c r="U56" s="125">
        <f t="shared" si="5"/>
        <v>0</v>
      </c>
      <c r="V56" s="118"/>
      <c r="W56" s="119"/>
      <c r="X56" s="119"/>
      <c r="Y56" s="119"/>
      <c r="Z56" s="120"/>
      <c r="AA56" s="120"/>
      <c r="AB56" s="120"/>
      <c r="AC56" s="121"/>
      <c r="AD56" s="121"/>
      <c r="AE56" s="121"/>
      <c r="AF56" s="122"/>
      <c r="AG56" s="122"/>
      <c r="AH56" s="123"/>
      <c r="AI56" s="123"/>
      <c r="AJ56" s="123"/>
      <c r="AK56" s="112"/>
      <c r="AL56" s="112"/>
      <c r="AM56" s="112"/>
    </row>
    <row r="57" spans="1:39">
      <c r="A57" s="109">
        <v>55</v>
      </c>
      <c r="B57" s="124" t="s">
        <v>175</v>
      </c>
      <c r="C57" s="111" t="s">
        <v>190</v>
      </c>
      <c r="D57" s="112">
        <v>185</v>
      </c>
      <c r="E57" s="113">
        <v>1865</v>
      </c>
      <c r="F57" s="113">
        <v>0</v>
      </c>
      <c r="G57" s="114">
        <f>'[2]DORMITORY MB'!H2412</f>
        <v>613.46</v>
      </c>
      <c r="H57" s="115">
        <v>0</v>
      </c>
      <c r="I57" s="116">
        <f t="shared" si="0"/>
        <v>0</v>
      </c>
      <c r="J57" s="116">
        <f t="shared" si="1"/>
        <v>1251.54</v>
      </c>
      <c r="K57" s="116"/>
      <c r="L57" s="117">
        <f t="shared" si="7"/>
        <v>345025</v>
      </c>
      <c r="M57" s="117">
        <f t="shared" si="7"/>
        <v>0</v>
      </c>
      <c r="N57" s="117">
        <f t="shared" si="7"/>
        <v>113490.1</v>
      </c>
      <c r="O57" s="117">
        <f t="shared" si="7"/>
        <v>0</v>
      </c>
      <c r="P57" s="117">
        <f t="shared" si="7"/>
        <v>0</v>
      </c>
      <c r="Q57" s="117">
        <f t="shared" si="7"/>
        <v>231534.9</v>
      </c>
      <c r="R57" s="117"/>
      <c r="S57" s="118">
        <f t="shared" si="3"/>
        <v>0</v>
      </c>
      <c r="T57" s="118">
        <f t="shared" si="4"/>
        <v>0</v>
      </c>
      <c r="U57" s="125">
        <f t="shared" si="5"/>
        <v>0</v>
      </c>
      <c r="V57" s="118"/>
      <c r="W57" s="119"/>
      <c r="X57" s="119"/>
      <c r="Y57" s="119"/>
      <c r="Z57" s="120"/>
      <c r="AA57" s="120"/>
      <c r="AB57" s="120"/>
      <c r="AC57" s="121"/>
      <c r="AD57" s="121"/>
      <c r="AE57" s="121"/>
      <c r="AF57" s="122"/>
      <c r="AG57" s="122"/>
      <c r="AH57" s="123"/>
      <c r="AI57" s="123"/>
      <c r="AJ57" s="123"/>
      <c r="AK57" s="112"/>
      <c r="AL57" s="112"/>
      <c r="AM57" s="112"/>
    </row>
    <row r="58" spans="1:39" ht="104.4">
      <c r="A58" s="109">
        <v>56</v>
      </c>
      <c r="B58" s="135" t="s">
        <v>191</v>
      </c>
      <c r="C58" s="111" t="s">
        <v>179</v>
      </c>
      <c r="D58" s="112">
        <v>1095</v>
      </c>
      <c r="E58" s="113">
        <v>416</v>
      </c>
      <c r="F58" s="113">
        <v>0</v>
      </c>
      <c r="G58" s="114">
        <f>'[2]DORMITORY MB'!H2425</f>
        <v>213.83199999999999</v>
      </c>
      <c r="H58" s="115">
        <v>0</v>
      </c>
      <c r="I58" s="116">
        <f t="shared" si="0"/>
        <v>0</v>
      </c>
      <c r="J58" s="116">
        <f t="shared" si="1"/>
        <v>202.16800000000001</v>
      </c>
      <c r="K58" s="116"/>
      <c r="L58" s="117">
        <f t="shared" si="7"/>
        <v>455520</v>
      </c>
      <c r="M58" s="117">
        <f t="shared" si="7"/>
        <v>0</v>
      </c>
      <c r="N58" s="117">
        <f t="shared" si="7"/>
        <v>234146.03999999998</v>
      </c>
      <c r="O58" s="117">
        <f t="shared" si="7"/>
        <v>0</v>
      </c>
      <c r="P58" s="117">
        <f t="shared" si="7"/>
        <v>0</v>
      </c>
      <c r="Q58" s="117">
        <f t="shared" si="7"/>
        <v>221373.96000000002</v>
      </c>
      <c r="R58" s="117"/>
      <c r="S58" s="118">
        <f t="shared" si="3"/>
        <v>0</v>
      </c>
      <c r="T58" s="118">
        <f t="shared" si="4"/>
        <v>0</v>
      </c>
      <c r="U58" s="125">
        <f t="shared" si="5"/>
        <v>0</v>
      </c>
      <c r="V58" s="118"/>
      <c r="W58" s="119"/>
      <c r="X58" s="119"/>
      <c r="Y58" s="119"/>
      <c r="Z58" s="120"/>
      <c r="AA58" s="120"/>
      <c r="AB58" s="120"/>
      <c r="AC58" s="121"/>
      <c r="AD58" s="121"/>
      <c r="AE58" s="121"/>
      <c r="AF58" s="122"/>
      <c r="AG58" s="122"/>
      <c r="AH58" s="123"/>
      <c r="AI58" s="123"/>
      <c r="AJ58" s="123"/>
      <c r="AK58" s="112"/>
      <c r="AL58" s="112"/>
      <c r="AM58" s="112"/>
    </row>
    <row r="59" spans="1:39" ht="87">
      <c r="A59" s="109">
        <v>57</v>
      </c>
      <c r="B59" s="135" t="s">
        <v>192</v>
      </c>
      <c r="C59" s="111" t="s">
        <v>179</v>
      </c>
      <c r="D59" s="112">
        <v>1095</v>
      </c>
      <c r="E59" s="113">
        <v>400</v>
      </c>
      <c r="F59" s="113">
        <v>0</v>
      </c>
      <c r="G59" s="114">
        <f>'[2]DORMITORY MB'!H2439</f>
        <v>1489.2000000000003</v>
      </c>
      <c r="H59" s="115">
        <v>0</v>
      </c>
      <c r="I59" s="116">
        <f t="shared" si="0"/>
        <v>1089.2000000000003</v>
      </c>
      <c r="J59" s="116">
        <f t="shared" si="1"/>
        <v>0</v>
      </c>
      <c r="K59" s="116"/>
      <c r="L59" s="117">
        <f t="shared" si="7"/>
        <v>438000</v>
      </c>
      <c r="M59" s="117">
        <f t="shared" si="7"/>
        <v>0</v>
      </c>
      <c r="N59" s="117">
        <f>G59*$D59</f>
        <v>1630674.0000000002</v>
      </c>
      <c r="O59" s="117">
        <f t="shared" si="7"/>
        <v>0</v>
      </c>
      <c r="P59" s="117">
        <f t="shared" si="7"/>
        <v>1192674.0000000002</v>
      </c>
      <c r="Q59" s="117">
        <f t="shared" si="7"/>
        <v>0</v>
      </c>
      <c r="R59" s="117"/>
      <c r="S59" s="118">
        <f t="shared" si="3"/>
        <v>0</v>
      </c>
      <c r="T59" s="118">
        <f t="shared" si="4"/>
        <v>0</v>
      </c>
      <c r="U59" s="125">
        <f t="shared" si="5"/>
        <v>0</v>
      </c>
      <c r="V59" s="118"/>
      <c r="W59" s="119"/>
      <c r="X59" s="119"/>
      <c r="Y59" s="119"/>
      <c r="Z59" s="120"/>
      <c r="AA59" s="120"/>
      <c r="AB59" s="120"/>
      <c r="AC59" s="121"/>
      <c r="AD59" s="121"/>
      <c r="AE59" s="121"/>
      <c r="AF59" s="122"/>
      <c r="AG59" s="122"/>
      <c r="AH59" s="123"/>
      <c r="AI59" s="123"/>
      <c r="AJ59" s="123"/>
      <c r="AK59" s="112"/>
      <c r="AL59" s="112"/>
      <c r="AM59" s="112"/>
    </row>
    <row r="60" spans="1:39" ht="69.599999999999994">
      <c r="A60" s="109">
        <v>58</v>
      </c>
      <c r="B60" s="134" t="s">
        <v>193</v>
      </c>
      <c r="C60" s="111" t="s">
        <v>179</v>
      </c>
      <c r="D60" s="112">
        <v>1340</v>
      </c>
      <c r="E60" s="113">
        <v>100</v>
      </c>
      <c r="F60" s="113">
        <v>0</v>
      </c>
      <c r="G60" s="114">
        <f>'[2]DORMITORY MB'!H2458</f>
        <v>378.45499999999998</v>
      </c>
      <c r="H60" s="115">
        <v>0</v>
      </c>
      <c r="I60" s="116">
        <f t="shared" si="0"/>
        <v>278.45499999999998</v>
      </c>
      <c r="J60" s="116">
        <f t="shared" si="1"/>
        <v>0</v>
      </c>
      <c r="K60" s="116"/>
      <c r="L60" s="117">
        <f t="shared" si="7"/>
        <v>134000</v>
      </c>
      <c r="M60" s="117">
        <f t="shared" si="7"/>
        <v>0</v>
      </c>
      <c r="N60" s="117">
        <f t="shared" si="7"/>
        <v>507129.69999999995</v>
      </c>
      <c r="O60" s="117">
        <f t="shared" si="7"/>
        <v>0</v>
      </c>
      <c r="P60" s="117">
        <f t="shared" si="7"/>
        <v>373129.69999999995</v>
      </c>
      <c r="Q60" s="117">
        <f t="shared" si="7"/>
        <v>0</v>
      </c>
      <c r="R60" s="117"/>
      <c r="S60" s="118">
        <f t="shared" si="3"/>
        <v>0</v>
      </c>
      <c r="T60" s="118">
        <f t="shared" si="4"/>
        <v>0</v>
      </c>
      <c r="U60" s="125">
        <f t="shared" si="5"/>
        <v>0</v>
      </c>
      <c r="V60" s="118"/>
      <c r="W60" s="119"/>
      <c r="X60" s="119"/>
      <c r="Y60" s="119"/>
      <c r="Z60" s="120"/>
      <c r="AA60" s="120"/>
      <c r="AB60" s="120"/>
      <c r="AC60" s="121"/>
      <c r="AD60" s="121"/>
      <c r="AE60" s="121"/>
      <c r="AF60" s="122"/>
      <c r="AG60" s="122"/>
      <c r="AH60" s="123"/>
      <c r="AI60" s="123"/>
      <c r="AJ60" s="123"/>
      <c r="AK60" s="112"/>
      <c r="AL60" s="112"/>
      <c r="AM60" s="112"/>
    </row>
    <row r="61" spans="1:39" ht="208.8">
      <c r="A61" s="109">
        <v>59</v>
      </c>
      <c r="B61" s="134" t="s">
        <v>194</v>
      </c>
      <c r="C61" s="111"/>
      <c r="D61" s="112"/>
      <c r="E61" s="113"/>
      <c r="F61" s="113">
        <v>0</v>
      </c>
      <c r="G61" s="114"/>
      <c r="H61" s="115">
        <v>0</v>
      </c>
      <c r="I61" s="116">
        <f t="shared" si="0"/>
        <v>0</v>
      </c>
      <c r="J61" s="116">
        <f t="shared" si="1"/>
        <v>0</v>
      </c>
      <c r="K61" s="116"/>
      <c r="L61" s="117"/>
      <c r="M61" s="117">
        <f t="shared" si="7"/>
        <v>0</v>
      </c>
      <c r="N61" s="117">
        <f t="shared" si="7"/>
        <v>0</v>
      </c>
      <c r="O61" s="117">
        <f t="shared" si="7"/>
        <v>0</v>
      </c>
      <c r="P61" s="117">
        <f t="shared" si="7"/>
        <v>0</v>
      </c>
      <c r="Q61" s="117">
        <f t="shared" si="7"/>
        <v>0</v>
      </c>
      <c r="R61" s="117"/>
      <c r="S61" s="118"/>
      <c r="T61" s="118"/>
      <c r="U61" s="125"/>
      <c r="V61" s="118"/>
      <c r="W61" s="119"/>
      <c r="X61" s="119"/>
      <c r="Y61" s="119"/>
      <c r="Z61" s="120"/>
      <c r="AA61" s="120"/>
      <c r="AB61" s="120"/>
      <c r="AC61" s="121"/>
      <c r="AD61" s="121"/>
      <c r="AE61" s="121"/>
      <c r="AF61" s="122"/>
      <c r="AG61" s="122"/>
      <c r="AH61" s="123"/>
      <c r="AI61" s="123"/>
      <c r="AJ61" s="123"/>
      <c r="AK61" s="112"/>
      <c r="AL61" s="112"/>
      <c r="AM61" s="112"/>
    </row>
    <row r="62" spans="1:39">
      <c r="A62" s="109"/>
      <c r="B62" s="126" t="s">
        <v>195</v>
      </c>
      <c r="C62" s="111" t="s">
        <v>179</v>
      </c>
      <c r="D62" s="112">
        <v>800</v>
      </c>
      <c r="E62" s="113">
        <v>850</v>
      </c>
      <c r="F62" s="113">
        <v>0</v>
      </c>
      <c r="G62" s="114">
        <f>'[2]DORMITORY MB'!H2471</f>
        <v>812.3685999999999</v>
      </c>
      <c r="H62" s="115">
        <v>0</v>
      </c>
      <c r="I62" s="116">
        <f t="shared" si="0"/>
        <v>0</v>
      </c>
      <c r="J62" s="116">
        <f t="shared" si="1"/>
        <v>37.631400000000099</v>
      </c>
      <c r="K62" s="116"/>
      <c r="L62" s="117">
        <f>E62*$D62</f>
        <v>680000</v>
      </c>
      <c r="M62" s="117">
        <f t="shared" si="7"/>
        <v>0</v>
      </c>
      <c r="N62" s="117">
        <f t="shared" si="7"/>
        <v>649894.87999999989</v>
      </c>
      <c r="O62" s="117">
        <f t="shared" si="7"/>
        <v>0</v>
      </c>
      <c r="P62" s="117">
        <f t="shared" si="7"/>
        <v>0</v>
      </c>
      <c r="Q62" s="117">
        <f t="shared" si="7"/>
        <v>30105.120000000079</v>
      </c>
      <c r="R62" s="117"/>
      <c r="S62" s="118">
        <f t="shared" si="3"/>
        <v>0</v>
      </c>
      <c r="T62" s="118">
        <f t="shared" si="4"/>
        <v>0</v>
      </c>
      <c r="U62" s="125">
        <f t="shared" si="5"/>
        <v>0</v>
      </c>
      <c r="V62" s="118"/>
      <c r="W62" s="119"/>
      <c r="X62" s="119"/>
      <c r="Y62" s="119"/>
      <c r="Z62" s="120"/>
      <c r="AA62" s="120"/>
      <c r="AB62" s="120"/>
      <c r="AC62" s="121"/>
      <c r="AD62" s="121"/>
      <c r="AE62" s="121"/>
      <c r="AF62" s="122"/>
      <c r="AG62" s="122"/>
      <c r="AH62" s="123"/>
      <c r="AI62" s="123"/>
      <c r="AJ62" s="123"/>
      <c r="AK62" s="112"/>
      <c r="AL62" s="112"/>
      <c r="AM62" s="112"/>
    </row>
    <row r="63" spans="1:39" ht="104.4">
      <c r="A63" s="109">
        <v>60</v>
      </c>
      <c r="B63" s="134" t="s">
        <v>196</v>
      </c>
      <c r="C63" s="111" t="s">
        <v>179</v>
      </c>
      <c r="D63" s="112">
        <v>5125</v>
      </c>
      <c r="E63" s="113">
        <v>201.6</v>
      </c>
      <c r="F63" s="113">
        <v>0</v>
      </c>
      <c r="G63" s="114">
        <f>'[2]DORMITORY MB'!H2482</f>
        <v>224.28000000000003</v>
      </c>
      <c r="H63" s="115">
        <v>0</v>
      </c>
      <c r="I63" s="116">
        <f t="shared" si="0"/>
        <v>22.680000000000035</v>
      </c>
      <c r="J63" s="116">
        <f t="shared" si="1"/>
        <v>0</v>
      </c>
      <c r="K63" s="116"/>
      <c r="L63" s="117">
        <f>E63*$D63</f>
        <v>1033200</v>
      </c>
      <c r="M63" s="117">
        <f t="shared" si="7"/>
        <v>0</v>
      </c>
      <c r="N63" s="117">
        <f t="shared" si="7"/>
        <v>1149435.0000000002</v>
      </c>
      <c r="O63" s="117">
        <f t="shared" si="7"/>
        <v>0</v>
      </c>
      <c r="P63" s="117">
        <f t="shared" si="7"/>
        <v>116235.00000000017</v>
      </c>
      <c r="Q63" s="117">
        <f t="shared" si="7"/>
        <v>0</v>
      </c>
      <c r="R63" s="117"/>
      <c r="S63" s="118">
        <f t="shared" si="3"/>
        <v>0</v>
      </c>
      <c r="T63" s="118">
        <f t="shared" si="4"/>
        <v>0</v>
      </c>
      <c r="U63" s="125">
        <f t="shared" si="5"/>
        <v>0</v>
      </c>
      <c r="V63" s="118"/>
      <c r="W63" s="119"/>
      <c r="X63" s="119"/>
      <c r="Y63" s="119"/>
      <c r="Z63" s="120"/>
      <c r="AA63" s="120"/>
      <c r="AB63" s="120"/>
      <c r="AC63" s="121"/>
      <c r="AD63" s="121"/>
      <c r="AE63" s="121"/>
      <c r="AF63" s="122"/>
      <c r="AG63" s="122"/>
      <c r="AH63" s="123"/>
      <c r="AI63" s="123"/>
      <c r="AJ63" s="123"/>
      <c r="AK63" s="112"/>
      <c r="AL63" s="112"/>
      <c r="AM63" s="112"/>
    </row>
    <row r="64" spans="1:39" ht="69.599999999999994">
      <c r="A64" s="109">
        <v>61</v>
      </c>
      <c r="B64" s="134" t="s">
        <v>197</v>
      </c>
      <c r="C64" s="111" t="s">
        <v>190</v>
      </c>
      <c r="D64" s="112">
        <v>1550</v>
      </c>
      <c r="E64" s="113">
        <v>55</v>
      </c>
      <c r="F64" s="113">
        <v>0</v>
      </c>
      <c r="G64" s="114">
        <f>'[2]DORMITORY MB'!H2491</f>
        <v>41.58</v>
      </c>
      <c r="H64" s="115">
        <v>0</v>
      </c>
      <c r="I64" s="116">
        <f t="shared" si="0"/>
        <v>0</v>
      </c>
      <c r="J64" s="116">
        <f t="shared" si="1"/>
        <v>13.420000000000002</v>
      </c>
      <c r="K64" s="116"/>
      <c r="L64" s="117">
        <f>E64*$D64</f>
        <v>85250</v>
      </c>
      <c r="M64" s="117">
        <f t="shared" si="7"/>
        <v>0</v>
      </c>
      <c r="N64" s="117">
        <f t="shared" si="7"/>
        <v>64449</v>
      </c>
      <c r="O64" s="117">
        <f t="shared" si="7"/>
        <v>0</v>
      </c>
      <c r="P64" s="117">
        <f t="shared" si="7"/>
        <v>0</v>
      </c>
      <c r="Q64" s="117">
        <f t="shared" si="7"/>
        <v>20801.000000000004</v>
      </c>
      <c r="R64" s="117"/>
      <c r="S64" s="118">
        <f t="shared" si="3"/>
        <v>0</v>
      </c>
      <c r="T64" s="118">
        <f t="shared" si="4"/>
        <v>0</v>
      </c>
      <c r="U64" s="125">
        <f t="shared" si="5"/>
        <v>0</v>
      </c>
      <c r="V64" s="118"/>
      <c r="W64" s="119"/>
      <c r="X64" s="119"/>
      <c r="Y64" s="119"/>
      <c r="Z64" s="120"/>
      <c r="AA64" s="120"/>
      <c r="AB64" s="120"/>
      <c r="AC64" s="121"/>
      <c r="AD64" s="121"/>
      <c r="AE64" s="121"/>
      <c r="AF64" s="122"/>
      <c r="AG64" s="122"/>
      <c r="AH64" s="123"/>
      <c r="AI64" s="123"/>
      <c r="AJ64" s="123"/>
      <c r="AK64" s="112"/>
      <c r="AL64" s="112"/>
      <c r="AM64" s="112"/>
    </row>
    <row r="65" spans="1:39" ht="121.8">
      <c r="A65" s="109">
        <v>62</v>
      </c>
      <c r="B65" s="134" t="s">
        <v>198</v>
      </c>
      <c r="C65" s="111" t="s">
        <v>179</v>
      </c>
      <c r="D65" s="112">
        <v>3450</v>
      </c>
      <c r="E65" s="113">
        <v>160</v>
      </c>
      <c r="F65" s="113">
        <v>0</v>
      </c>
      <c r="G65" s="114">
        <f>'[2]DORMITORY MB'!H2500</f>
        <v>90</v>
      </c>
      <c r="H65" s="115">
        <v>0</v>
      </c>
      <c r="I65" s="116">
        <f t="shared" si="0"/>
        <v>0</v>
      </c>
      <c r="J65" s="116">
        <f t="shared" si="1"/>
        <v>70</v>
      </c>
      <c r="K65" s="116"/>
      <c r="L65" s="117">
        <f>E65*$D65</f>
        <v>552000</v>
      </c>
      <c r="M65" s="117">
        <f t="shared" si="7"/>
        <v>0</v>
      </c>
      <c r="N65" s="117">
        <f t="shared" si="7"/>
        <v>310500</v>
      </c>
      <c r="O65" s="117">
        <f t="shared" si="7"/>
        <v>0</v>
      </c>
      <c r="P65" s="117">
        <f t="shared" si="7"/>
        <v>0</v>
      </c>
      <c r="Q65" s="117">
        <f t="shared" si="7"/>
        <v>241500</v>
      </c>
      <c r="R65" s="117"/>
      <c r="S65" s="118">
        <f t="shared" si="3"/>
        <v>0</v>
      </c>
      <c r="T65" s="118">
        <f t="shared" si="4"/>
        <v>0</v>
      </c>
      <c r="U65" s="125">
        <f t="shared" si="5"/>
        <v>0</v>
      </c>
      <c r="V65" s="118"/>
      <c r="W65" s="119"/>
      <c r="X65" s="119"/>
      <c r="Y65" s="119"/>
      <c r="Z65" s="120"/>
      <c r="AA65" s="120"/>
      <c r="AB65" s="120"/>
      <c r="AC65" s="121"/>
      <c r="AD65" s="121"/>
      <c r="AE65" s="121"/>
      <c r="AF65" s="122"/>
      <c r="AG65" s="122"/>
      <c r="AH65" s="123"/>
      <c r="AI65" s="123"/>
      <c r="AJ65" s="123"/>
      <c r="AK65" s="112"/>
      <c r="AL65" s="112"/>
      <c r="AM65" s="112"/>
    </row>
    <row r="66" spans="1:39">
      <c r="A66" s="109"/>
      <c r="B66" s="134"/>
      <c r="C66" s="111"/>
      <c r="D66" s="112"/>
      <c r="E66" s="113"/>
      <c r="F66" s="113"/>
      <c r="G66" s="114"/>
      <c r="H66" s="115"/>
      <c r="I66" s="116"/>
      <c r="J66" s="116"/>
      <c r="K66" s="116"/>
      <c r="L66" s="117"/>
      <c r="M66" s="117"/>
      <c r="N66" s="117">
        <f t="shared" si="7"/>
        <v>0</v>
      </c>
      <c r="O66" s="117">
        <f t="shared" si="7"/>
        <v>0</v>
      </c>
      <c r="P66" s="117"/>
      <c r="Q66" s="117"/>
      <c r="R66" s="117"/>
      <c r="S66" s="118"/>
      <c r="T66" s="118"/>
      <c r="U66" s="118"/>
      <c r="V66" s="118"/>
      <c r="W66" s="119"/>
      <c r="X66" s="119"/>
      <c r="Y66" s="119"/>
      <c r="Z66" s="120"/>
      <c r="AA66" s="120"/>
      <c r="AB66" s="120"/>
      <c r="AC66" s="121"/>
      <c r="AD66" s="121"/>
      <c r="AE66" s="121"/>
      <c r="AF66" s="122"/>
      <c r="AG66" s="122"/>
      <c r="AH66" s="123"/>
      <c r="AI66" s="123"/>
      <c r="AJ66" s="123"/>
      <c r="AK66" s="112"/>
      <c r="AL66" s="112"/>
      <c r="AM66" s="112"/>
    </row>
    <row r="67" spans="1:39">
      <c r="A67" s="109"/>
      <c r="B67" s="136" t="s">
        <v>199</v>
      </c>
      <c r="C67" s="111"/>
      <c r="D67" s="112"/>
      <c r="E67" s="113"/>
      <c r="F67" s="113"/>
      <c r="G67" s="114"/>
      <c r="H67" s="115"/>
      <c r="I67" s="116"/>
      <c r="J67" s="116"/>
      <c r="K67" s="116"/>
      <c r="L67" s="117"/>
      <c r="M67" s="117"/>
      <c r="N67" s="117">
        <f t="shared" si="7"/>
        <v>0</v>
      </c>
      <c r="O67" s="117">
        <f t="shared" si="7"/>
        <v>0</v>
      </c>
      <c r="P67" s="117"/>
      <c r="Q67" s="117"/>
      <c r="R67" s="117"/>
      <c r="S67" s="118"/>
      <c r="T67" s="118"/>
      <c r="U67" s="118"/>
      <c r="V67" s="118"/>
      <c r="W67" s="119"/>
      <c r="X67" s="119"/>
      <c r="Y67" s="119"/>
      <c r="Z67" s="120"/>
      <c r="AA67" s="120"/>
      <c r="AB67" s="120"/>
      <c r="AC67" s="121"/>
      <c r="AD67" s="121"/>
      <c r="AE67" s="121"/>
      <c r="AF67" s="122"/>
      <c r="AG67" s="122"/>
      <c r="AH67" s="123"/>
      <c r="AI67" s="123"/>
      <c r="AJ67" s="123"/>
      <c r="AK67" s="112"/>
      <c r="AL67" s="112"/>
      <c r="AM67" s="112"/>
    </row>
    <row r="68" spans="1:39" ht="87">
      <c r="A68" s="109">
        <v>1</v>
      </c>
      <c r="B68" s="134" t="s">
        <v>200</v>
      </c>
      <c r="C68" s="111" t="s">
        <v>201</v>
      </c>
      <c r="D68" s="112">
        <v>60</v>
      </c>
      <c r="E68" s="113">
        <v>0</v>
      </c>
      <c r="F68" s="113">
        <f>'[2]DORMITORY MB'!H2536</f>
        <v>748.05100000000004</v>
      </c>
      <c r="G68" s="114"/>
      <c r="H68" s="115"/>
      <c r="I68" s="116">
        <f>IF(F68=0,G68,IF(AND(G68&gt;F68,F68&gt;0),G68-F68,0))</f>
        <v>0</v>
      </c>
      <c r="J68" s="116">
        <f>IF(G68=0,F68,IF(F68&gt;=G68,F68-G68,0))</f>
        <v>748.05100000000004</v>
      </c>
      <c r="K68" s="116"/>
      <c r="L68" s="117">
        <f t="shared" ref="L68:M71" si="8">E68*$D68</f>
        <v>0</v>
      </c>
      <c r="M68" s="117">
        <f t="shared" si="8"/>
        <v>44883.060000000005</v>
      </c>
      <c r="N68" s="117">
        <f t="shared" si="7"/>
        <v>0</v>
      </c>
      <c r="O68" s="117">
        <f t="shared" si="7"/>
        <v>0</v>
      </c>
      <c r="P68" s="117">
        <f t="shared" si="7"/>
        <v>0</v>
      </c>
      <c r="Q68" s="117">
        <f t="shared" si="7"/>
        <v>44883.060000000005</v>
      </c>
      <c r="R68" s="117"/>
      <c r="S68" s="118">
        <f>(H68/F68)*100</f>
        <v>0</v>
      </c>
      <c r="T68" s="118"/>
      <c r="U68" s="125">
        <f>H68/F68</f>
        <v>0</v>
      </c>
      <c r="V68" s="118"/>
      <c r="W68" s="119"/>
      <c r="X68" s="119"/>
      <c r="Y68" s="119"/>
      <c r="Z68" s="120"/>
      <c r="AA68" s="120"/>
      <c r="AB68" s="120"/>
      <c r="AC68" s="121"/>
      <c r="AD68" s="121"/>
      <c r="AE68" s="121"/>
      <c r="AF68" s="122"/>
      <c r="AG68" s="122"/>
      <c r="AH68" s="123"/>
      <c r="AI68" s="123"/>
      <c r="AJ68" s="123"/>
      <c r="AK68" s="112"/>
      <c r="AL68" s="112"/>
      <c r="AM68" s="112"/>
    </row>
    <row r="69" spans="1:39" ht="87">
      <c r="A69" s="109">
        <v>2</v>
      </c>
      <c r="B69" s="134" t="s">
        <v>202</v>
      </c>
      <c r="C69" s="111" t="s">
        <v>203</v>
      </c>
      <c r="D69" s="112">
        <v>1100</v>
      </c>
      <c r="E69" s="113">
        <v>0</v>
      </c>
      <c r="F69" s="113">
        <f>'[2]DORMITORY MB'!H2518</f>
        <v>81.173999999999992</v>
      </c>
      <c r="G69" s="114"/>
      <c r="H69" s="115"/>
      <c r="I69" s="116">
        <f>IF(F69=0,G69,IF(AND(G69&gt;F69,F69&gt;0),G69-F69,0))</f>
        <v>0</v>
      </c>
      <c r="J69" s="116">
        <f>IF(G69=0,F69,IF(F69&gt;=G69,F69-G69,0))</f>
        <v>81.173999999999992</v>
      </c>
      <c r="K69" s="116"/>
      <c r="L69" s="117">
        <f t="shared" si="8"/>
        <v>0</v>
      </c>
      <c r="M69" s="117">
        <f t="shared" si="8"/>
        <v>89291.4</v>
      </c>
      <c r="N69" s="117">
        <f t="shared" si="7"/>
        <v>0</v>
      </c>
      <c r="O69" s="117">
        <f t="shared" si="7"/>
        <v>0</v>
      </c>
      <c r="P69" s="117">
        <f t="shared" si="7"/>
        <v>0</v>
      </c>
      <c r="Q69" s="117">
        <f t="shared" si="7"/>
        <v>89291.4</v>
      </c>
      <c r="R69" s="117"/>
      <c r="S69" s="118">
        <f>(H69/F69)*100</f>
        <v>0</v>
      </c>
      <c r="T69" s="118"/>
      <c r="U69" s="125">
        <f>H69/F69</f>
        <v>0</v>
      </c>
      <c r="V69" s="118"/>
      <c r="W69" s="119"/>
      <c r="X69" s="119"/>
      <c r="Y69" s="119"/>
      <c r="Z69" s="120"/>
      <c r="AA69" s="120"/>
      <c r="AB69" s="120"/>
      <c r="AC69" s="121"/>
      <c r="AD69" s="121"/>
      <c r="AE69" s="121"/>
      <c r="AF69" s="122"/>
      <c r="AG69" s="122"/>
      <c r="AH69" s="123"/>
      <c r="AI69" s="123"/>
      <c r="AJ69" s="123"/>
      <c r="AK69" s="112"/>
      <c r="AL69" s="112"/>
      <c r="AM69" s="112"/>
    </row>
    <row r="70" spans="1:39" ht="104.4">
      <c r="A70" s="109">
        <v>3</v>
      </c>
      <c r="B70" s="134" t="s">
        <v>204</v>
      </c>
      <c r="C70" s="111" t="s">
        <v>205</v>
      </c>
      <c r="D70" s="112">
        <f>110000</f>
        <v>110000</v>
      </c>
      <c r="E70" s="113">
        <v>0</v>
      </c>
      <c r="F70" s="113">
        <v>6.51</v>
      </c>
      <c r="G70" s="114"/>
      <c r="H70" s="115"/>
      <c r="I70" s="116">
        <f>IF(F70=0,G70,IF(AND(G70&gt;F70,F70&gt;0),G70-F70,0))</f>
        <v>0</v>
      </c>
      <c r="J70" s="116">
        <f>IF(G70=0,F70,IF(F70&gt;=G70,F70-G70,0))</f>
        <v>6.51</v>
      </c>
      <c r="K70" s="116"/>
      <c r="L70" s="117">
        <f t="shared" si="8"/>
        <v>0</v>
      </c>
      <c r="M70" s="117">
        <f>F70*$D70</f>
        <v>716100</v>
      </c>
      <c r="N70" s="117">
        <f t="shared" si="7"/>
        <v>0</v>
      </c>
      <c r="O70" s="117">
        <f t="shared" si="7"/>
        <v>0</v>
      </c>
      <c r="P70" s="117">
        <f t="shared" si="7"/>
        <v>0</v>
      </c>
      <c r="Q70" s="117">
        <f>J70*$D70</f>
        <v>716100</v>
      </c>
      <c r="R70" s="117"/>
      <c r="S70" s="118">
        <f>(H70/F70)*100</f>
        <v>0</v>
      </c>
      <c r="T70" s="118"/>
      <c r="U70" s="125">
        <f>H70/F70</f>
        <v>0</v>
      </c>
      <c r="V70" s="118"/>
      <c r="W70" s="119"/>
      <c r="X70" s="119"/>
      <c r="Y70" s="119"/>
      <c r="Z70" s="120"/>
      <c r="AA70" s="120"/>
      <c r="AB70" s="120"/>
      <c r="AC70" s="121"/>
      <c r="AD70" s="121"/>
      <c r="AE70" s="121"/>
      <c r="AF70" s="122"/>
      <c r="AG70" s="122"/>
      <c r="AH70" s="123"/>
      <c r="AI70" s="123"/>
      <c r="AJ70" s="123"/>
      <c r="AK70" s="112"/>
      <c r="AL70" s="112"/>
      <c r="AM70" s="112"/>
    </row>
    <row r="71" spans="1:39" ht="104.4">
      <c r="A71" s="109">
        <v>4</v>
      </c>
      <c r="B71" s="137" t="s">
        <v>206</v>
      </c>
      <c r="C71" s="138" t="s">
        <v>179</v>
      </c>
      <c r="D71" s="139">
        <v>3200</v>
      </c>
      <c r="E71" s="140"/>
      <c r="F71" s="140">
        <v>232</v>
      </c>
      <c r="G71" s="114"/>
      <c r="H71" s="141"/>
      <c r="I71" s="116">
        <f>IF(F71=0,G71,IF(AND(G71&gt;F71,F71&gt;0),G71-F71,0))</f>
        <v>0</v>
      </c>
      <c r="J71" s="116">
        <f>IF(G71=0,F71,IF(F71&gt;=G71,F71-G71,0))</f>
        <v>232</v>
      </c>
      <c r="K71" s="116"/>
      <c r="L71" s="117">
        <f t="shared" si="8"/>
        <v>0</v>
      </c>
      <c r="M71" s="117">
        <f t="shared" si="8"/>
        <v>742400</v>
      </c>
      <c r="N71" s="117">
        <f t="shared" si="7"/>
        <v>0</v>
      </c>
      <c r="O71" s="117">
        <f t="shared" si="7"/>
        <v>0</v>
      </c>
      <c r="P71" s="117">
        <f t="shared" si="7"/>
        <v>0</v>
      </c>
      <c r="Q71" s="117">
        <f t="shared" si="7"/>
        <v>742400</v>
      </c>
      <c r="R71" s="117"/>
      <c r="S71" s="118">
        <f>(H71/F71)*100</f>
        <v>0</v>
      </c>
      <c r="T71" s="118"/>
      <c r="U71" s="125">
        <f>H71/F71</f>
        <v>0</v>
      </c>
      <c r="V71" s="118"/>
      <c r="W71" s="142"/>
      <c r="X71" s="142"/>
      <c r="Y71" s="142"/>
      <c r="Z71" s="143"/>
      <c r="AA71" s="143"/>
      <c r="AB71" s="143"/>
      <c r="AC71" s="144"/>
      <c r="AD71" s="144"/>
      <c r="AE71" s="144"/>
      <c r="AF71" s="145"/>
      <c r="AG71" s="145"/>
      <c r="AH71" s="146"/>
      <c r="AI71" s="146"/>
      <c r="AJ71" s="146"/>
      <c r="AK71" s="139"/>
      <c r="AL71" s="139"/>
      <c r="AM71" s="139"/>
    </row>
    <row r="72" spans="1:39" ht="18" thickBot="1">
      <c r="A72" s="147"/>
      <c r="B72" s="148" t="s">
        <v>207</v>
      </c>
      <c r="C72" s="149"/>
      <c r="D72" s="150"/>
      <c r="E72" s="151"/>
      <c r="F72" s="151"/>
      <c r="G72" s="152"/>
      <c r="H72" s="151"/>
      <c r="I72" s="151"/>
      <c r="J72" s="151"/>
      <c r="K72" s="151"/>
      <c r="L72" s="153">
        <f t="shared" ref="L72:R72" si="9">SUM(L4:L71)</f>
        <v>57673792.296526998</v>
      </c>
      <c r="M72" s="153">
        <f t="shared" si="9"/>
        <v>1592674.46</v>
      </c>
      <c r="N72" s="153">
        <f t="shared" si="9"/>
        <v>51313216.01874873</v>
      </c>
      <c r="O72" s="153">
        <f t="shared" si="9"/>
        <v>23555570.299999997</v>
      </c>
      <c r="P72" s="153">
        <f t="shared" si="9"/>
        <v>5521220.1684367228</v>
      </c>
      <c r="Q72" s="153">
        <f t="shared" si="9"/>
        <v>13474470.906215001</v>
      </c>
      <c r="R72" s="153">
        <f t="shared" si="9"/>
        <v>0</v>
      </c>
      <c r="S72" s="154"/>
      <c r="T72" s="154"/>
      <c r="U72" s="154"/>
      <c r="V72" s="154"/>
      <c r="W72" s="155">
        <f>SUM(W4:W71)</f>
        <v>15293077.199999999</v>
      </c>
      <c r="X72" s="155">
        <f>SUM(X4:X71)</f>
        <v>15293077.199999999</v>
      </c>
      <c r="Y72" s="155">
        <f>SUM(Y4:Y71)</f>
        <v>0</v>
      </c>
      <c r="Z72" s="156">
        <f>O72</f>
        <v>23555570.299999997</v>
      </c>
      <c r="AA72" s="156">
        <f>IFERROR(W72/Z72,"")</f>
        <v>0.64923400305022549</v>
      </c>
      <c r="AB72" s="156" t="str">
        <f>IF(AA72=0,"No Work",IF(AA72&lt;1,"Cost Overrun",IF(AA72=1,"On Budget",IF(AA72&gt;1,"Under Budget","-"))))</f>
        <v>Cost Overrun</v>
      </c>
      <c r="AC72" s="157">
        <f>SUM(AC4:AC71)</f>
        <v>-452229.90347299934</v>
      </c>
      <c r="AD72" s="157">
        <f>SUM(AD4:AD71)</f>
        <v>1717048.5348187205</v>
      </c>
      <c r="AE72" s="157">
        <f>SUM(AE4:AE71)</f>
        <v>0</v>
      </c>
      <c r="AF72" s="158">
        <f>SUM(AF4:AF71)</f>
        <v>14840847.296527</v>
      </c>
      <c r="AG72" s="158">
        <f>SUM(AG4:AG71)</f>
        <v>0</v>
      </c>
      <c r="AH72" s="159">
        <f>SUM(AH3:AH65)</f>
        <v>-2169278.4382917206</v>
      </c>
      <c r="AI72" s="159">
        <f>SUM(AI3:AI65)</f>
        <v>1717048.5348187208</v>
      </c>
      <c r="AJ72" s="159">
        <f>SUM(AJ3:AJ65)</f>
        <v>0</v>
      </c>
      <c r="AK72" s="150"/>
      <c r="AL72" s="150"/>
      <c r="AM72" s="150"/>
    </row>
    <row r="76" spans="1:39">
      <c r="G76" s="163">
        <f>5*2</f>
        <v>10</v>
      </c>
      <c r="H76" s="162">
        <f>0.888*1.1*15</f>
        <v>14.652000000000001</v>
      </c>
      <c r="I76" s="162">
        <f>0.888*1.1*5</f>
        <v>4.8840000000000003</v>
      </c>
      <c r="J76" s="162">
        <f>0.888*1.8*15</f>
        <v>23.975999999999999</v>
      </c>
    </row>
    <row r="77" spans="1:39">
      <c r="G77" s="163">
        <f>23*1.36</f>
        <v>31.28</v>
      </c>
      <c r="H77" s="163">
        <f>5*2</f>
        <v>10</v>
      </c>
      <c r="I77" s="163">
        <f>3*2</f>
        <v>6</v>
      </c>
      <c r="J77" s="163">
        <f>6.6*2</f>
        <v>13.2</v>
      </c>
    </row>
    <row r="78" spans="1:39">
      <c r="G78" s="163">
        <f>G76+G77</f>
        <v>41.28</v>
      </c>
      <c r="H78" s="163">
        <f>H76+H77</f>
        <v>24.652000000000001</v>
      </c>
      <c r="I78" s="163">
        <f>I76+I77</f>
        <v>10.884</v>
      </c>
      <c r="J78" s="163">
        <f>J76+J77</f>
        <v>37.176000000000002</v>
      </c>
    </row>
    <row r="79" spans="1:39">
      <c r="G79" s="162">
        <f>G78*80</f>
        <v>3302.4</v>
      </c>
      <c r="H79" s="162">
        <f>H78*80</f>
        <v>1972.16</v>
      </c>
      <c r="I79" s="162">
        <f>I78*80</f>
        <v>870.72</v>
      </c>
      <c r="J79" s="162">
        <f>J78*10</f>
        <v>371.76</v>
      </c>
    </row>
  </sheetData>
  <sheetProtection formatCells="0" formatColumns="0" formatRows="0" insertColumns="0" insertRows="0" insertHyperlinks="0" deleteColumns="0" deleteRows="0" sort="0" autoFilter="0" pivotTables="0"/>
  <autoFilter ref="B1:B72" xr:uid="{9504F29B-0054-470B-BF75-0A33562EAC1A}"/>
  <mergeCells count="8">
    <mergeCell ref="AH2:AJ2"/>
    <mergeCell ref="AK2:AM2"/>
    <mergeCell ref="E2:K2"/>
    <mergeCell ref="L2:R2"/>
    <mergeCell ref="S2:V2"/>
    <mergeCell ref="W2:Y2"/>
    <mergeCell ref="Z2:AB2"/>
    <mergeCell ref="AC2:AE2"/>
  </mergeCells>
  <conditionalFormatting sqref="AB1:AB65536">
    <cfRule type="cellIs" dxfId="3" priority="1" stopIfTrue="1" operator="equal">
      <formula>"Under Budget"</formula>
    </cfRule>
    <cfRule type="cellIs" dxfId="2" priority="2" stopIfTrue="1" operator="equal">
      <formula>"On Budget"</formula>
    </cfRule>
    <cfRule type="cellIs" dxfId="1" priority="3" stopIfTrue="1" operator="equal">
      <formula>"Cost Overrun"</formula>
    </cfRule>
    <cfRule type="cellIs" dxfId="0" priority="4" stopIfTrue="1" operator="equal">
      <formula>"No Work"</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21EA6-B512-4373-9044-8B86C75037FC}">
  <sheetPr>
    <tabColor theme="8" tint="-0.499984740745262"/>
  </sheetPr>
  <dimension ref="A1:M42"/>
  <sheetViews>
    <sheetView zoomScale="62" workbookViewId="0">
      <pane ySplit="1" topLeftCell="A29" activePane="bottomLeft" state="frozen"/>
      <selection activeCell="Z4" sqref="Z4"/>
      <selection pane="bottomLeft" activeCell="K54" sqref="K54"/>
    </sheetView>
  </sheetViews>
  <sheetFormatPr defaultColWidth="8.77734375" defaultRowHeight="14.4"/>
  <cols>
    <col min="1" max="1" width="12.77734375" customWidth="1"/>
    <col min="2" max="2" width="19.77734375" customWidth="1"/>
    <col min="3" max="3" width="14.21875" customWidth="1"/>
    <col min="4" max="4" width="20.21875" customWidth="1"/>
    <col min="5" max="5" width="12.109375" customWidth="1"/>
    <col min="7" max="7" width="14.44140625" bestFit="1" customWidth="1"/>
    <col min="8" max="8" width="14.77734375" bestFit="1" customWidth="1"/>
    <col min="9" max="9" width="16" customWidth="1"/>
    <col min="10" max="10" width="15.44140625" customWidth="1"/>
    <col min="11" max="11" width="22.77734375" customWidth="1"/>
    <col min="12" max="12" width="23.44140625" customWidth="1"/>
    <col min="257" max="257" width="12.77734375" customWidth="1"/>
    <col min="258" max="258" width="19.77734375" customWidth="1"/>
    <col min="259" max="259" width="14.21875" customWidth="1"/>
    <col min="260" max="260" width="20.21875" customWidth="1"/>
    <col min="261" max="261" width="12.109375" customWidth="1"/>
    <col min="263" max="263" width="14.44140625" bestFit="1" customWidth="1"/>
    <col min="264" max="264" width="14.77734375" bestFit="1" customWidth="1"/>
    <col min="265" max="265" width="16" customWidth="1"/>
    <col min="266" max="266" width="15.44140625" customWidth="1"/>
    <col min="267" max="267" width="22.77734375" customWidth="1"/>
    <col min="268" max="268" width="23.44140625" customWidth="1"/>
    <col min="513" max="513" width="12.77734375" customWidth="1"/>
    <col min="514" max="514" width="19.77734375" customWidth="1"/>
    <col min="515" max="515" width="14.21875" customWidth="1"/>
    <col min="516" max="516" width="20.21875" customWidth="1"/>
    <col min="517" max="517" width="12.109375" customWidth="1"/>
    <col min="519" max="519" width="14.44140625" bestFit="1" customWidth="1"/>
    <col min="520" max="520" width="14.77734375" bestFit="1" customWidth="1"/>
    <col min="521" max="521" width="16" customWidth="1"/>
    <col min="522" max="522" width="15.44140625" customWidth="1"/>
    <col min="523" max="523" width="22.77734375" customWidth="1"/>
    <col min="524" max="524" width="23.44140625" customWidth="1"/>
    <col min="769" max="769" width="12.77734375" customWidth="1"/>
    <col min="770" max="770" width="19.77734375" customWidth="1"/>
    <col min="771" max="771" width="14.21875" customWidth="1"/>
    <col min="772" max="772" width="20.21875" customWidth="1"/>
    <col min="773" max="773" width="12.109375" customWidth="1"/>
    <col min="775" max="775" width="14.44140625" bestFit="1" customWidth="1"/>
    <col min="776" max="776" width="14.77734375" bestFit="1" customWidth="1"/>
    <col min="777" max="777" width="16" customWidth="1"/>
    <col min="778" max="778" width="15.44140625" customWidth="1"/>
    <col min="779" max="779" width="22.77734375" customWidth="1"/>
    <col min="780" max="780" width="23.44140625" customWidth="1"/>
    <col min="1025" max="1025" width="12.77734375" customWidth="1"/>
    <col min="1026" max="1026" width="19.77734375" customWidth="1"/>
    <col min="1027" max="1027" width="14.21875" customWidth="1"/>
    <col min="1028" max="1028" width="20.21875" customWidth="1"/>
    <col min="1029" max="1029" width="12.109375" customWidth="1"/>
    <col min="1031" max="1031" width="14.44140625" bestFit="1" customWidth="1"/>
    <col min="1032" max="1032" width="14.77734375" bestFit="1" customWidth="1"/>
    <col min="1033" max="1033" width="16" customWidth="1"/>
    <col min="1034" max="1034" width="15.44140625" customWidth="1"/>
    <col min="1035" max="1035" width="22.77734375" customWidth="1"/>
    <col min="1036" max="1036" width="23.44140625" customWidth="1"/>
    <col min="1281" max="1281" width="12.77734375" customWidth="1"/>
    <col min="1282" max="1282" width="19.77734375" customWidth="1"/>
    <col min="1283" max="1283" width="14.21875" customWidth="1"/>
    <col min="1284" max="1284" width="20.21875" customWidth="1"/>
    <col min="1285" max="1285" width="12.109375" customWidth="1"/>
    <col min="1287" max="1287" width="14.44140625" bestFit="1" customWidth="1"/>
    <col min="1288" max="1288" width="14.77734375" bestFit="1" customWidth="1"/>
    <col min="1289" max="1289" width="16" customWidth="1"/>
    <col min="1290" max="1290" width="15.44140625" customWidth="1"/>
    <col min="1291" max="1291" width="22.77734375" customWidth="1"/>
    <col min="1292" max="1292" width="23.44140625" customWidth="1"/>
    <col min="1537" max="1537" width="12.77734375" customWidth="1"/>
    <col min="1538" max="1538" width="19.77734375" customWidth="1"/>
    <col min="1539" max="1539" width="14.21875" customWidth="1"/>
    <col min="1540" max="1540" width="20.21875" customWidth="1"/>
    <col min="1541" max="1541" width="12.109375" customWidth="1"/>
    <col min="1543" max="1543" width="14.44140625" bestFit="1" customWidth="1"/>
    <col min="1544" max="1544" width="14.77734375" bestFit="1" customWidth="1"/>
    <col min="1545" max="1545" width="16" customWidth="1"/>
    <col min="1546" max="1546" width="15.44140625" customWidth="1"/>
    <col min="1547" max="1547" width="22.77734375" customWidth="1"/>
    <col min="1548" max="1548" width="23.44140625" customWidth="1"/>
    <col min="1793" max="1793" width="12.77734375" customWidth="1"/>
    <col min="1794" max="1794" width="19.77734375" customWidth="1"/>
    <col min="1795" max="1795" width="14.21875" customWidth="1"/>
    <col min="1796" max="1796" width="20.21875" customWidth="1"/>
    <col min="1797" max="1797" width="12.109375" customWidth="1"/>
    <col min="1799" max="1799" width="14.44140625" bestFit="1" customWidth="1"/>
    <col min="1800" max="1800" width="14.77734375" bestFit="1" customWidth="1"/>
    <col min="1801" max="1801" width="16" customWidth="1"/>
    <col min="1802" max="1802" width="15.44140625" customWidth="1"/>
    <col min="1803" max="1803" width="22.77734375" customWidth="1"/>
    <col min="1804" max="1804" width="23.44140625" customWidth="1"/>
    <col min="2049" max="2049" width="12.77734375" customWidth="1"/>
    <col min="2050" max="2050" width="19.77734375" customWidth="1"/>
    <col min="2051" max="2051" width="14.21875" customWidth="1"/>
    <col min="2052" max="2052" width="20.21875" customWidth="1"/>
    <col min="2053" max="2053" width="12.109375" customWidth="1"/>
    <col min="2055" max="2055" width="14.44140625" bestFit="1" customWidth="1"/>
    <col min="2056" max="2056" width="14.77734375" bestFit="1" customWidth="1"/>
    <col min="2057" max="2057" width="16" customWidth="1"/>
    <col min="2058" max="2058" width="15.44140625" customWidth="1"/>
    <col min="2059" max="2059" width="22.77734375" customWidth="1"/>
    <col min="2060" max="2060" width="23.44140625" customWidth="1"/>
    <col min="2305" max="2305" width="12.77734375" customWidth="1"/>
    <col min="2306" max="2306" width="19.77734375" customWidth="1"/>
    <col min="2307" max="2307" width="14.21875" customWidth="1"/>
    <col min="2308" max="2308" width="20.21875" customWidth="1"/>
    <col min="2309" max="2309" width="12.109375" customWidth="1"/>
    <col min="2311" max="2311" width="14.44140625" bestFit="1" customWidth="1"/>
    <col min="2312" max="2312" width="14.77734375" bestFit="1" customWidth="1"/>
    <col min="2313" max="2313" width="16" customWidth="1"/>
    <col min="2314" max="2314" width="15.44140625" customWidth="1"/>
    <col min="2315" max="2315" width="22.77734375" customWidth="1"/>
    <col min="2316" max="2316" width="23.44140625" customWidth="1"/>
    <col min="2561" max="2561" width="12.77734375" customWidth="1"/>
    <col min="2562" max="2562" width="19.77734375" customWidth="1"/>
    <col min="2563" max="2563" width="14.21875" customWidth="1"/>
    <col min="2564" max="2564" width="20.21875" customWidth="1"/>
    <col min="2565" max="2565" width="12.109375" customWidth="1"/>
    <col min="2567" max="2567" width="14.44140625" bestFit="1" customWidth="1"/>
    <col min="2568" max="2568" width="14.77734375" bestFit="1" customWidth="1"/>
    <col min="2569" max="2569" width="16" customWidth="1"/>
    <col min="2570" max="2570" width="15.44140625" customWidth="1"/>
    <col min="2571" max="2571" width="22.77734375" customWidth="1"/>
    <col min="2572" max="2572" width="23.44140625" customWidth="1"/>
    <col min="2817" max="2817" width="12.77734375" customWidth="1"/>
    <col min="2818" max="2818" width="19.77734375" customWidth="1"/>
    <col min="2819" max="2819" width="14.21875" customWidth="1"/>
    <col min="2820" max="2820" width="20.21875" customWidth="1"/>
    <col min="2821" max="2821" width="12.109375" customWidth="1"/>
    <col min="2823" max="2823" width="14.44140625" bestFit="1" customWidth="1"/>
    <col min="2824" max="2824" width="14.77734375" bestFit="1" customWidth="1"/>
    <col min="2825" max="2825" width="16" customWidth="1"/>
    <col min="2826" max="2826" width="15.44140625" customWidth="1"/>
    <col min="2827" max="2827" width="22.77734375" customWidth="1"/>
    <col min="2828" max="2828" width="23.44140625" customWidth="1"/>
    <col min="3073" max="3073" width="12.77734375" customWidth="1"/>
    <col min="3074" max="3074" width="19.77734375" customWidth="1"/>
    <col min="3075" max="3075" width="14.21875" customWidth="1"/>
    <col min="3076" max="3076" width="20.21875" customWidth="1"/>
    <col min="3077" max="3077" width="12.109375" customWidth="1"/>
    <col min="3079" max="3079" width="14.44140625" bestFit="1" customWidth="1"/>
    <col min="3080" max="3080" width="14.77734375" bestFit="1" customWidth="1"/>
    <col min="3081" max="3081" width="16" customWidth="1"/>
    <col min="3082" max="3082" width="15.44140625" customWidth="1"/>
    <col min="3083" max="3083" width="22.77734375" customWidth="1"/>
    <col min="3084" max="3084" width="23.44140625" customWidth="1"/>
    <col min="3329" max="3329" width="12.77734375" customWidth="1"/>
    <col min="3330" max="3330" width="19.77734375" customWidth="1"/>
    <col min="3331" max="3331" width="14.21875" customWidth="1"/>
    <col min="3332" max="3332" width="20.21875" customWidth="1"/>
    <col min="3333" max="3333" width="12.109375" customWidth="1"/>
    <col min="3335" max="3335" width="14.44140625" bestFit="1" customWidth="1"/>
    <col min="3336" max="3336" width="14.77734375" bestFit="1" customWidth="1"/>
    <col min="3337" max="3337" width="16" customWidth="1"/>
    <col min="3338" max="3338" width="15.44140625" customWidth="1"/>
    <col min="3339" max="3339" width="22.77734375" customWidth="1"/>
    <col min="3340" max="3340" width="23.44140625" customWidth="1"/>
    <col min="3585" max="3585" width="12.77734375" customWidth="1"/>
    <col min="3586" max="3586" width="19.77734375" customWidth="1"/>
    <col min="3587" max="3587" width="14.21875" customWidth="1"/>
    <col min="3588" max="3588" width="20.21875" customWidth="1"/>
    <col min="3589" max="3589" width="12.109375" customWidth="1"/>
    <col min="3591" max="3591" width="14.44140625" bestFit="1" customWidth="1"/>
    <col min="3592" max="3592" width="14.77734375" bestFit="1" customWidth="1"/>
    <col min="3593" max="3593" width="16" customWidth="1"/>
    <col min="3594" max="3594" width="15.44140625" customWidth="1"/>
    <col min="3595" max="3595" width="22.77734375" customWidth="1"/>
    <col min="3596" max="3596" width="23.44140625" customWidth="1"/>
    <col min="3841" max="3841" width="12.77734375" customWidth="1"/>
    <col min="3842" max="3842" width="19.77734375" customWidth="1"/>
    <col min="3843" max="3843" width="14.21875" customWidth="1"/>
    <col min="3844" max="3844" width="20.21875" customWidth="1"/>
    <col min="3845" max="3845" width="12.109375" customWidth="1"/>
    <col min="3847" max="3847" width="14.44140625" bestFit="1" customWidth="1"/>
    <col min="3848" max="3848" width="14.77734375" bestFit="1" customWidth="1"/>
    <col min="3849" max="3849" width="16" customWidth="1"/>
    <col min="3850" max="3850" width="15.44140625" customWidth="1"/>
    <col min="3851" max="3851" width="22.77734375" customWidth="1"/>
    <col min="3852" max="3852" width="23.44140625" customWidth="1"/>
    <col min="4097" max="4097" width="12.77734375" customWidth="1"/>
    <col min="4098" max="4098" width="19.77734375" customWidth="1"/>
    <col min="4099" max="4099" width="14.21875" customWidth="1"/>
    <col min="4100" max="4100" width="20.21875" customWidth="1"/>
    <col min="4101" max="4101" width="12.109375" customWidth="1"/>
    <col min="4103" max="4103" width="14.44140625" bestFit="1" customWidth="1"/>
    <col min="4104" max="4104" width="14.77734375" bestFit="1" customWidth="1"/>
    <col min="4105" max="4105" width="16" customWidth="1"/>
    <col min="4106" max="4106" width="15.44140625" customWidth="1"/>
    <col min="4107" max="4107" width="22.77734375" customWidth="1"/>
    <col min="4108" max="4108" width="23.44140625" customWidth="1"/>
    <col min="4353" max="4353" width="12.77734375" customWidth="1"/>
    <col min="4354" max="4354" width="19.77734375" customWidth="1"/>
    <col min="4355" max="4355" width="14.21875" customWidth="1"/>
    <col min="4356" max="4356" width="20.21875" customWidth="1"/>
    <col min="4357" max="4357" width="12.109375" customWidth="1"/>
    <col min="4359" max="4359" width="14.44140625" bestFit="1" customWidth="1"/>
    <col min="4360" max="4360" width="14.77734375" bestFit="1" customWidth="1"/>
    <col min="4361" max="4361" width="16" customWidth="1"/>
    <col min="4362" max="4362" width="15.44140625" customWidth="1"/>
    <col min="4363" max="4363" width="22.77734375" customWidth="1"/>
    <col min="4364" max="4364" width="23.44140625" customWidth="1"/>
    <col min="4609" max="4609" width="12.77734375" customWidth="1"/>
    <col min="4610" max="4610" width="19.77734375" customWidth="1"/>
    <col min="4611" max="4611" width="14.21875" customWidth="1"/>
    <col min="4612" max="4612" width="20.21875" customWidth="1"/>
    <col min="4613" max="4613" width="12.109375" customWidth="1"/>
    <col min="4615" max="4615" width="14.44140625" bestFit="1" customWidth="1"/>
    <col min="4616" max="4616" width="14.77734375" bestFit="1" customWidth="1"/>
    <col min="4617" max="4617" width="16" customWidth="1"/>
    <col min="4618" max="4618" width="15.44140625" customWidth="1"/>
    <col min="4619" max="4619" width="22.77734375" customWidth="1"/>
    <col min="4620" max="4620" width="23.44140625" customWidth="1"/>
    <col min="4865" max="4865" width="12.77734375" customWidth="1"/>
    <col min="4866" max="4866" width="19.77734375" customWidth="1"/>
    <col min="4867" max="4867" width="14.21875" customWidth="1"/>
    <col min="4868" max="4868" width="20.21875" customWidth="1"/>
    <col min="4869" max="4869" width="12.109375" customWidth="1"/>
    <col min="4871" max="4871" width="14.44140625" bestFit="1" customWidth="1"/>
    <col min="4872" max="4872" width="14.77734375" bestFit="1" customWidth="1"/>
    <col min="4873" max="4873" width="16" customWidth="1"/>
    <col min="4874" max="4874" width="15.44140625" customWidth="1"/>
    <col min="4875" max="4875" width="22.77734375" customWidth="1"/>
    <col min="4876" max="4876" width="23.44140625" customWidth="1"/>
    <col min="5121" max="5121" width="12.77734375" customWidth="1"/>
    <col min="5122" max="5122" width="19.77734375" customWidth="1"/>
    <col min="5123" max="5123" width="14.21875" customWidth="1"/>
    <col min="5124" max="5124" width="20.21875" customWidth="1"/>
    <col min="5125" max="5125" width="12.109375" customWidth="1"/>
    <col min="5127" max="5127" width="14.44140625" bestFit="1" customWidth="1"/>
    <col min="5128" max="5128" width="14.77734375" bestFit="1" customWidth="1"/>
    <col min="5129" max="5129" width="16" customWidth="1"/>
    <col min="5130" max="5130" width="15.44140625" customWidth="1"/>
    <col min="5131" max="5131" width="22.77734375" customWidth="1"/>
    <col min="5132" max="5132" width="23.44140625" customWidth="1"/>
    <col min="5377" max="5377" width="12.77734375" customWidth="1"/>
    <col min="5378" max="5378" width="19.77734375" customWidth="1"/>
    <col min="5379" max="5379" width="14.21875" customWidth="1"/>
    <col min="5380" max="5380" width="20.21875" customWidth="1"/>
    <col min="5381" max="5381" width="12.109375" customWidth="1"/>
    <col min="5383" max="5383" width="14.44140625" bestFit="1" customWidth="1"/>
    <col min="5384" max="5384" width="14.77734375" bestFit="1" customWidth="1"/>
    <col min="5385" max="5385" width="16" customWidth="1"/>
    <col min="5386" max="5386" width="15.44140625" customWidth="1"/>
    <col min="5387" max="5387" width="22.77734375" customWidth="1"/>
    <col min="5388" max="5388" width="23.44140625" customWidth="1"/>
    <col min="5633" max="5633" width="12.77734375" customWidth="1"/>
    <col min="5634" max="5634" width="19.77734375" customWidth="1"/>
    <col min="5635" max="5635" width="14.21875" customWidth="1"/>
    <col min="5636" max="5636" width="20.21875" customWidth="1"/>
    <col min="5637" max="5637" width="12.109375" customWidth="1"/>
    <col min="5639" max="5639" width="14.44140625" bestFit="1" customWidth="1"/>
    <col min="5640" max="5640" width="14.77734375" bestFit="1" customWidth="1"/>
    <col min="5641" max="5641" width="16" customWidth="1"/>
    <col min="5642" max="5642" width="15.44140625" customWidth="1"/>
    <col min="5643" max="5643" width="22.77734375" customWidth="1"/>
    <col min="5644" max="5644" width="23.44140625" customWidth="1"/>
    <col min="5889" max="5889" width="12.77734375" customWidth="1"/>
    <col min="5890" max="5890" width="19.77734375" customWidth="1"/>
    <col min="5891" max="5891" width="14.21875" customWidth="1"/>
    <col min="5892" max="5892" width="20.21875" customWidth="1"/>
    <col min="5893" max="5893" width="12.109375" customWidth="1"/>
    <col min="5895" max="5895" width="14.44140625" bestFit="1" customWidth="1"/>
    <col min="5896" max="5896" width="14.77734375" bestFit="1" customWidth="1"/>
    <col min="5897" max="5897" width="16" customWidth="1"/>
    <col min="5898" max="5898" width="15.44140625" customWidth="1"/>
    <col min="5899" max="5899" width="22.77734375" customWidth="1"/>
    <col min="5900" max="5900" width="23.44140625" customWidth="1"/>
    <col min="6145" max="6145" width="12.77734375" customWidth="1"/>
    <col min="6146" max="6146" width="19.77734375" customWidth="1"/>
    <col min="6147" max="6147" width="14.21875" customWidth="1"/>
    <col min="6148" max="6148" width="20.21875" customWidth="1"/>
    <col min="6149" max="6149" width="12.109375" customWidth="1"/>
    <col min="6151" max="6151" width="14.44140625" bestFit="1" customWidth="1"/>
    <col min="6152" max="6152" width="14.77734375" bestFit="1" customWidth="1"/>
    <col min="6153" max="6153" width="16" customWidth="1"/>
    <col min="6154" max="6154" width="15.44140625" customWidth="1"/>
    <col min="6155" max="6155" width="22.77734375" customWidth="1"/>
    <col min="6156" max="6156" width="23.44140625" customWidth="1"/>
    <col min="6401" max="6401" width="12.77734375" customWidth="1"/>
    <col min="6402" max="6402" width="19.77734375" customWidth="1"/>
    <col min="6403" max="6403" width="14.21875" customWidth="1"/>
    <col min="6404" max="6404" width="20.21875" customWidth="1"/>
    <col min="6405" max="6405" width="12.109375" customWidth="1"/>
    <col min="6407" max="6407" width="14.44140625" bestFit="1" customWidth="1"/>
    <col min="6408" max="6408" width="14.77734375" bestFit="1" customWidth="1"/>
    <col min="6409" max="6409" width="16" customWidth="1"/>
    <col min="6410" max="6410" width="15.44140625" customWidth="1"/>
    <col min="6411" max="6411" width="22.77734375" customWidth="1"/>
    <col min="6412" max="6412" width="23.44140625" customWidth="1"/>
    <col min="6657" max="6657" width="12.77734375" customWidth="1"/>
    <col min="6658" max="6658" width="19.77734375" customWidth="1"/>
    <col min="6659" max="6659" width="14.21875" customWidth="1"/>
    <col min="6660" max="6660" width="20.21875" customWidth="1"/>
    <col min="6661" max="6661" width="12.109375" customWidth="1"/>
    <col min="6663" max="6663" width="14.44140625" bestFit="1" customWidth="1"/>
    <col min="6664" max="6664" width="14.77734375" bestFit="1" customWidth="1"/>
    <col min="6665" max="6665" width="16" customWidth="1"/>
    <col min="6666" max="6666" width="15.44140625" customWidth="1"/>
    <col min="6667" max="6667" width="22.77734375" customWidth="1"/>
    <col min="6668" max="6668" width="23.44140625" customWidth="1"/>
    <col min="6913" max="6913" width="12.77734375" customWidth="1"/>
    <col min="6914" max="6914" width="19.77734375" customWidth="1"/>
    <col min="6915" max="6915" width="14.21875" customWidth="1"/>
    <col min="6916" max="6916" width="20.21875" customWidth="1"/>
    <col min="6917" max="6917" width="12.109375" customWidth="1"/>
    <col min="6919" max="6919" width="14.44140625" bestFit="1" customWidth="1"/>
    <col min="6920" max="6920" width="14.77734375" bestFit="1" customWidth="1"/>
    <col min="6921" max="6921" width="16" customWidth="1"/>
    <col min="6922" max="6922" width="15.44140625" customWidth="1"/>
    <col min="6923" max="6923" width="22.77734375" customWidth="1"/>
    <col min="6924" max="6924" width="23.44140625" customWidth="1"/>
    <col min="7169" max="7169" width="12.77734375" customWidth="1"/>
    <col min="7170" max="7170" width="19.77734375" customWidth="1"/>
    <col min="7171" max="7171" width="14.21875" customWidth="1"/>
    <col min="7172" max="7172" width="20.21875" customWidth="1"/>
    <col min="7173" max="7173" width="12.109375" customWidth="1"/>
    <col min="7175" max="7175" width="14.44140625" bestFit="1" customWidth="1"/>
    <col min="7176" max="7176" width="14.77734375" bestFit="1" customWidth="1"/>
    <col min="7177" max="7177" width="16" customWidth="1"/>
    <col min="7178" max="7178" width="15.44140625" customWidth="1"/>
    <col min="7179" max="7179" width="22.77734375" customWidth="1"/>
    <col min="7180" max="7180" width="23.44140625" customWidth="1"/>
    <col min="7425" max="7425" width="12.77734375" customWidth="1"/>
    <col min="7426" max="7426" width="19.77734375" customWidth="1"/>
    <col min="7427" max="7427" width="14.21875" customWidth="1"/>
    <col min="7428" max="7428" width="20.21875" customWidth="1"/>
    <col min="7429" max="7429" width="12.109375" customWidth="1"/>
    <col min="7431" max="7431" width="14.44140625" bestFit="1" customWidth="1"/>
    <col min="7432" max="7432" width="14.77734375" bestFit="1" customWidth="1"/>
    <col min="7433" max="7433" width="16" customWidth="1"/>
    <col min="7434" max="7434" width="15.44140625" customWidth="1"/>
    <col min="7435" max="7435" width="22.77734375" customWidth="1"/>
    <col min="7436" max="7436" width="23.44140625" customWidth="1"/>
    <col min="7681" max="7681" width="12.77734375" customWidth="1"/>
    <col min="7682" max="7682" width="19.77734375" customWidth="1"/>
    <col min="7683" max="7683" width="14.21875" customWidth="1"/>
    <col min="7684" max="7684" width="20.21875" customWidth="1"/>
    <col min="7685" max="7685" width="12.109375" customWidth="1"/>
    <col min="7687" max="7687" width="14.44140625" bestFit="1" customWidth="1"/>
    <col min="7688" max="7688" width="14.77734375" bestFit="1" customWidth="1"/>
    <col min="7689" max="7689" width="16" customWidth="1"/>
    <col min="7690" max="7690" width="15.44140625" customWidth="1"/>
    <col min="7691" max="7691" width="22.77734375" customWidth="1"/>
    <col min="7692" max="7692" width="23.44140625" customWidth="1"/>
    <col min="7937" max="7937" width="12.77734375" customWidth="1"/>
    <col min="7938" max="7938" width="19.77734375" customWidth="1"/>
    <col min="7939" max="7939" width="14.21875" customWidth="1"/>
    <col min="7940" max="7940" width="20.21875" customWidth="1"/>
    <col min="7941" max="7941" width="12.109375" customWidth="1"/>
    <col min="7943" max="7943" width="14.44140625" bestFit="1" customWidth="1"/>
    <col min="7944" max="7944" width="14.77734375" bestFit="1" customWidth="1"/>
    <col min="7945" max="7945" width="16" customWidth="1"/>
    <col min="7946" max="7946" width="15.44140625" customWidth="1"/>
    <col min="7947" max="7947" width="22.77734375" customWidth="1"/>
    <col min="7948" max="7948" width="23.44140625" customWidth="1"/>
    <col min="8193" max="8193" width="12.77734375" customWidth="1"/>
    <col min="8194" max="8194" width="19.77734375" customWidth="1"/>
    <col min="8195" max="8195" width="14.21875" customWidth="1"/>
    <col min="8196" max="8196" width="20.21875" customWidth="1"/>
    <col min="8197" max="8197" width="12.109375" customWidth="1"/>
    <col min="8199" max="8199" width="14.44140625" bestFit="1" customWidth="1"/>
    <col min="8200" max="8200" width="14.77734375" bestFit="1" customWidth="1"/>
    <col min="8201" max="8201" width="16" customWidth="1"/>
    <col min="8202" max="8202" width="15.44140625" customWidth="1"/>
    <col min="8203" max="8203" width="22.77734375" customWidth="1"/>
    <col min="8204" max="8204" width="23.44140625" customWidth="1"/>
    <col min="8449" max="8449" width="12.77734375" customWidth="1"/>
    <col min="8450" max="8450" width="19.77734375" customWidth="1"/>
    <col min="8451" max="8451" width="14.21875" customWidth="1"/>
    <col min="8452" max="8452" width="20.21875" customWidth="1"/>
    <col min="8453" max="8453" width="12.109375" customWidth="1"/>
    <col min="8455" max="8455" width="14.44140625" bestFit="1" customWidth="1"/>
    <col min="8456" max="8456" width="14.77734375" bestFit="1" customWidth="1"/>
    <col min="8457" max="8457" width="16" customWidth="1"/>
    <col min="8458" max="8458" width="15.44140625" customWidth="1"/>
    <col min="8459" max="8459" width="22.77734375" customWidth="1"/>
    <col min="8460" max="8460" width="23.44140625" customWidth="1"/>
    <col min="8705" max="8705" width="12.77734375" customWidth="1"/>
    <col min="8706" max="8706" width="19.77734375" customWidth="1"/>
    <col min="8707" max="8707" width="14.21875" customWidth="1"/>
    <col min="8708" max="8708" width="20.21875" customWidth="1"/>
    <col min="8709" max="8709" width="12.109375" customWidth="1"/>
    <col min="8711" max="8711" width="14.44140625" bestFit="1" customWidth="1"/>
    <col min="8712" max="8712" width="14.77734375" bestFit="1" customWidth="1"/>
    <col min="8713" max="8713" width="16" customWidth="1"/>
    <col min="8714" max="8714" width="15.44140625" customWidth="1"/>
    <col min="8715" max="8715" width="22.77734375" customWidth="1"/>
    <col min="8716" max="8716" width="23.44140625" customWidth="1"/>
    <col min="8961" max="8961" width="12.77734375" customWidth="1"/>
    <col min="8962" max="8962" width="19.77734375" customWidth="1"/>
    <col min="8963" max="8963" width="14.21875" customWidth="1"/>
    <col min="8964" max="8964" width="20.21875" customWidth="1"/>
    <col min="8965" max="8965" width="12.109375" customWidth="1"/>
    <col min="8967" max="8967" width="14.44140625" bestFit="1" customWidth="1"/>
    <col min="8968" max="8968" width="14.77734375" bestFit="1" customWidth="1"/>
    <col min="8969" max="8969" width="16" customWidth="1"/>
    <col min="8970" max="8970" width="15.44140625" customWidth="1"/>
    <col min="8971" max="8971" width="22.77734375" customWidth="1"/>
    <col min="8972" max="8972" width="23.44140625" customWidth="1"/>
    <col min="9217" max="9217" width="12.77734375" customWidth="1"/>
    <col min="9218" max="9218" width="19.77734375" customWidth="1"/>
    <col min="9219" max="9219" width="14.21875" customWidth="1"/>
    <col min="9220" max="9220" width="20.21875" customWidth="1"/>
    <col min="9221" max="9221" width="12.109375" customWidth="1"/>
    <col min="9223" max="9223" width="14.44140625" bestFit="1" customWidth="1"/>
    <col min="9224" max="9224" width="14.77734375" bestFit="1" customWidth="1"/>
    <col min="9225" max="9225" width="16" customWidth="1"/>
    <col min="9226" max="9226" width="15.44140625" customWidth="1"/>
    <col min="9227" max="9227" width="22.77734375" customWidth="1"/>
    <col min="9228" max="9228" width="23.44140625" customWidth="1"/>
    <col min="9473" max="9473" width="12.77734375" customWidth="1"/>
    <col min="9474" max="9474" width="19.77734375" customWidth="1"/>
    <col min="9475" max="9475" width="14.21875" customWidth="1"/>
    <col min="9476" max="9476" width="20.21875" customWidth="1"/>
    <col min="9477" max="9477" width="12.109375" customWidth="1"/>
    <col min="9479" max="9479" width="14.44140625" bestFit="1" customWidth="1"/>
    <col min="9480" max="9480" width="14.77734375" bestFit="1" customWidth="1"/>
    <col min="9481" max="9481" width="16" customWidth="1"/>
    <col min="9482" max="9482" width="15.44140625" customWidth="1"/>
    <col min="9483" max="9483" width="22.77734375" customWidth="1"/>
    <col min="9484" max="9484" width="23.44140625" customWidth="1"/>
    <col min="9729" max="9729" width="12.77734375" customWidth="1"/>
    <col min="9730" max="9730" width="19.77734375" customWidth="1"/>
    <col min="9731" max="9731" width="14.21875" customWidth="1"/>
    <col min="9732" max="9732" width="20.21875" customWidth="1"/>
    <col min="9733" max="9733" width="12.109375" customWidth="1"/>
    <col min="9735" max="9735" width="14.44140625" bestFit="1" customWidth="1"/>
    <col min="9736" max="9736" width="14.77734375" bestFit="1" customWidth="1"/>
    <col min="9737" max="9737" width="16" customWidth="1"/>
    <col min="9738" max="9738" width="15.44140625" customWidth="1"/>
    <col min="9739" max="9739" width="22.77734375" customWidth="1"/>
    <col min="9740" max="9740" width="23.44140625" customWidth="1"/>
    <col min="9985" max="9985" width="12.77734375" customWidth="1"/>
    <col min="9986" max="9986" width="19.77734375" customWidth="1"/>
    <col min="9987" max="9987" width="14.21875" customWidth="1"/>
    <col min="9988" max="9988" width="20.21875" customWidth="1"/>
    <col min="9989" max="9989" width="12.109375" customWidth="1"/>
    <col min="9991" max="9991" width="14.44140625" bestFit="1" customWidth="1"/>
    <col min="9992" max="9992" width="14.77734375" bestFit="1" customWidth="1"/>
    <col min="9993" max="9993" width="16" customWidth="1"/>
    <col min="9994" max="9994" width="15.44140625" customWidth="1"/>
    <col min="9995" max="9995" width="22.77734375" customWidth="1"/>
    <col min="9996" max="9996" width="23.44140625" customWidth="1"/>
    <col min="10241" max="10241" width="12.77734375" customWidth="1"/>
    <col min="10242" max="10242" width="19.77734375" customWidth="1"/>
    <col min="10243" max="10243" width="14.21875" customWidth="1"/>
    <col min="10244" max="10244" width="20.21875" customWidth="1"/>
    <col min="10245" max="10245" width="12.109375" customWidth="1"/>
    <col min="10247" max="10247" width="14.44140625" bestFit="1" customWidth="1"/>
    <col min="10248" max="10248" width="14.77734375" bestFit="1" customWidth="1"/>
    <col min="10249" max="10249" width="16" customWidth="1"/>
    <col min="10250" max="10250" width="15.44140625" customWidth="1"/>
    <col min="10251" max="10251" width="22.77734375" customWidth="1"/>
    <col min="10252" max="10252" width="23.44140625" customWidth="1"/>
    <col min="10497" max="10497" width="12.77734375" customWidth="1"/>
    <col min="10498" max="10498" width="19.77734375" customWidth="1"/>
    <col min="10499" max="10499" width="14.21875" customWidth="1"/>
    <col min="10500" max="10500" width="20.21875" customWidth="1"/>
    <col min="10501" max="10501" width="12.109375" customWidth="1"/>
    <col min="10503" max="10503" width="14.44140625" bestFit="1" customWidth="1"/>
    <col min="10504" max="10504" width="14.77734375" bestFit="1" customWidth="1"/>
    <col min="10505" max="10505" width="16" customWidth="1"/>
    <col min="10506" max="10506" width="15.44140625" customWidth="1"/>
    <col min="10507" max="10507" width="22.77734375" customWidth="1"/>
    <col min="10508" max="10508" width="23.44140625" customWidth="1"/>
    <col min="10753" max="10753" width="12.77734375" customWidth="1"/>
    <col min="10754" max="10754" width="19.77734375" customWidth="1"/>
    <col min="10755" max="10755" width="14.21875" customWidth="1"/>
    <col min="10756" max="10756" width="20.21875" customWidth="1"/>
    <col min="10757" max="10757" width="12.109375" customWidth="1"/>
    <col min="10759" max="10759" width="14.44140625" bestFit="1" customWidth="1"/>
    <col min="10760" max="10760" width="14.77734375" bestFit="1" customWidth="1"/>
    <col min="10761" max="10761" width="16" customWidth="1"/>
    <col min="10762" max="10762" width="15.44140625" customWidth="1"/>
    <col min="10763" max="10763" width="22.77734375" customWidth="1"/>
    <col min="10764" max="10764" width="23.44140625" customWidth="1"/>
    <col min="11009" max="11009" width="12.77734375" customWidth="1"/>
    <col min="11010" max="11010" width="19.77734375" customWidth="1"/>
    <col min="11011" max="11011" width="14.21875" customWidth="1"/>
    <col min="11012" max="11012" width="20.21875" customWidth="1"/>
    <col min="11013" max="11013" width="12.109375" customWidth="1"/>
    <col min="11015" max="11015" width="14.44140625" bestFit="1" customWidth="1"/>
    <col min="11016" max="11016" width="14.77734375" bestFit="1" customWidth="1"/>
    <col min="11017" max="11017" width="16" customWidth="1"/>
    <col min="11018" max="11018" width="15.44140625" customWidth="1"/>
    <col min="11019" max="11019" width="22.77734375" customWidth="1"/>
    <col min="11020" max="11020" width="23.44140625" customWidth="1"/>
    <col min="11265" max="11265" width="12.77734375" customWidth="1"/>
    <col min="11266" max="11266" width="19.77734375" customWidth="1"/>
    <col min="11267" max="11267" width="14.21875" customWidth="1"/>
    <col min="11268" max="11268" width="20.21875" customWidth="1"/>
    <col min="11269" max="11269" width="12.109375" customWidth="1"/>
    <col min="11271" max="11271" width="14.44140625" bestFit="1" customWidth="1"/>
    <col min="11272" max="11272" width="14.77734375" bestFit="1" customWidth="1"/>
    <col min="11273" max="11273" width="16" customWidth="1"/>
    <col min="11274" max="11274" width="15.44140625" customWidth="1"/>
    <col min="11275" max="11275" width="22.77734375" customWidth="1"/>
    <col min="11276" max="11276" width="23.44140625" customWidth="1"/>
    <col min="11521" max="11521" width="12.77734375" customWidth="1"/>
    <col min="11522" max="11522" width="19.77734375" customWidth="1"/>
    <col min="11523" max="11523" width="14.21875" customWidth="1"/>
    <col min="11524" max="11524" width="20.21875" customWidth="1"/>
    <col min="11525" max="11525" width="12.109375" customWidth="1"/>
    <col min="11527" max="11527" width="14.44140625" bestFit="1" customWidth="1"/>
    <col min="11528" max="11528" width="14.77734375" bestFit="1" customWidth="1"/>
    <col min="11529" max="11529" width="16" customWidth="1"/>
    <col min="11530" max="11530" width="15.44140625" customWidth="1"/>
    <col min="11531" max="11531" width="22.77734375" customWidth="1"/>
    <col min="11532" max="11532" width="23.44140625" customWidth="1"/>
    <col min="11777" max="11777" width="12.77734375" customWidth="1"/>
    <col min="11778" max="11778" width="19.77734375" customWidth="1"/>
    <col min="11779" max="11779" width="14.21875" customWidth="1"/>
    <col min="11780" max="11780" width="20.21875" customWidth="1"/>
    <col min="11781" max="11781" width="12.109375" customWidth="1"/>
    <col min="11783" max="11783" width="14.44140625" bestFit="1" customWidth="1"/>
    <col min="11784" max="11784" width="14.77734375" bestFit="1" customWidth="1"/>
    <col min="11785" max="11785" width="16" customWidth="1"/>
    <col min="11786" max="11786" width="15.44140625" customWidth="1"/>
    <col min="11787" max="11787" width="22.77734375" customWidth="1"/>
    <col min="11788" max="11788" width="23.44140625" customWidth="1"/>
    <col min="12033" max="12033" width="12.77734375" customWidth="1"/>
    <col min="12034" max="12034" width="19.77734375" customWidth="1"/>
    <col min="12035" max="12035" width="14.21875" customWidth="1"/>
    <col min="12036" max="12036" width="20.21875" customWidth="1"/>
    <col min="12037" max="12037" width="12.109375" customWidth="1"/>
    <col min="12039" max="12039" width="14.44140625" bestFit="1" customWidth="1"/>
    <col min="12040" max="12040" width="14.77734375" bestFit="1" customWidth="1"/>
    <col min="12041" max="12041" width="16" customWidth="1"/>
    <col min="12042" max="12042" width="15.44140625" customWidth="1"/>
    <col min="12043" max="12043" width="22.77734375" customWidth="1"/>
    <col min="12044" max="12044" width="23.44140625" customWidth="1"/>
    <col min="12289" max="12289" width="12.77734375" customWidth="1"/>
    <col min="12290" max="12290" width="19.77734375" customWidth="1"/>
    <col min="12291" max="12291" width="14.21875" customWidth="1"/>
    <col min="12292" max="12292" width="20.21875" customWidth="1"/>
    <col min="12293" max="12293" width="12.109375" customWidth="1"/>
    <col min="12295" max="12295" width="14.44140625" bestFit="1" customWidth="1"/>
    <col min="12296" max="12296" width="14.77734375" bestFit="1" customWidth="1"/>
    <col min="12297" max="12297" width="16" customWidth="1"/>
    <col min="12298" max="12298" width="15.44140625" customWidth="1"/>
    <col min="12299" max="12299" width="22.77734375" customWidth="1"/>
    <col min="12300" max="12300" width="23.44140625" customWidth="1"/>
    <col min="12545" max="12545" width="12.77734375" customWidth="1"/>
    <col min="12546" max="12546" width="19.77734375" customWidth="1"/>
    <col min="12547" max="12547" width="14.21875" customWidth="1"/>
    <col min="12548" max="12548" width="20.21875" customWidth="1"/>
    <col min="12549" max="12549" width="12.109375" customWidth="1"/>
    <col min="12551" max="12551" width="14.44140625" bestFit="1" customWidth="1"/>
    <col min="12552" max="12552" width="14.77734375" bestFit="1" customWidth="1"/>
    <col min="12553" max="12553" width="16" customWidth="1"/>
    <col min="12554" max="12554" width="15.44140625" customWidth="1"/>
    <col min="12555" max="12555" width="22.77734375" customWidth="1"/>
    <col min="12556" max="12556" width="23.44140625" customWidth="1"/>
    <col min="12801" max="12801" width="12.77734375" customWidth="1"/>
    <col min="12802" max="12802" width="19.77734375" customWidth="1"/>
    <col min="12803" max="12803" width="14.21875" customWidth="1"/>
    <col min="12804" max="12804" width="20.21875" customWidth="1"/>
    <col min="12805" max="12805" width="12.109375" customWidth="1"/>
    <col min="12807" max="12807" width="14.44140625" bestFit="1" customWidth="1"/>
    <col min="12808" max="12808" width="14.77734375" bestFit="1" customWidth="1"/>
    <col min="12809" max="12809" width="16" customWidth="1"/>
    <col min="12810" max="12810" width="15.44140625" customWidth="1"/>
    <col min="12811" max="12811" width="22.77734375" customWidth="1"/>
    <col min="12812" max="12812" width="23.44140625" customWidth="1"/>
    <col min="13057" max="13057" width="12.77734375" customWidth="1"/>
    <col min="13058" max="13058" width="19.77734375" customWidth="1"/>
    <col min="13059" max="13059" width="14.21875" customWidth="1"/>
    <col min="13060" max="13060" width="20.21875" customWidth="1"/>
    <col min="13061" max="13061" width="12.109375" customWidth="1"/>
    <col min="13063" max="13063" width="14.44140625" bestFit="1" customWidth="1"/>
    <col min="13064" max="13064" width="14.77734375" bestFit="1" customWidth="1"/>
    <col min="13065" max="13065" width="16" customWidth="1"/>
    <col min="13066" max="13066" width="15.44140625" customWidth="1"/>
    <col min="13067" max="13067" width="22.77734375" customWidth="1"/>
    <col min="13068" max="13068" width="23.44140625" customWidth="1"/>
    <col min="13313" max="13313" width="12.77734375" customWidth="1"/>
    <col min="13314" max="13314" width="19.77734375" customWidth="1"/>
    <col min="13315" max="13315" width="14.21875" customWidth="1"/>
    <col min="13316" max="13316" width="20.21875" customWidth="1"/>
    <col min="13317" max="13317" width="12.109375" customWidth="1"/>
    <col min="13319" max="13319" width="14.44140625" bestFit="1" customWidth="1"/>
    <col min="13320" max="13320" width="14.77734375" bestFit="1" customWidth="1"/>
    <col min="13321" max="13321" width="16" customWidth="1"/>
    <col min="13322" max="13322" width="15.44140625" customWidth="1"/>
    <col min="13323" max="13323" width="22.77734375" customWidth="1"/>
    <col min="13324" max="13324" width="23.44140625" customWidth="1"/>
    <col min="13569" max="13569" width="12.77734375" customWidth="1"/>
    <col min="13570" max="13570" width="19.77734375" customWidth="1"/>
    <col min="13571" max="13571" width="14.21875" customWidth="1"/>
    <col min="13572" max="13572" width="20.21875" customWidth="1"/>
    <col min="13573" max="13573" width="12.109375" customWidth="1"/>
    <col min="13575" max="13575" width="14.44140625" bestFit="1" customWidth="1"/>
    <col min="13576" max="13576" width="14.77734375" bestFit="1" customWidth="1"/>
    <col min="13577" max="13577" width="16" customWidth="1"/>
    <col min="13578" max="13578" width="15.44140625" customWidth="1"/>
    <col min="13579" max="13579" width="22.77734375" customWidth="1"/>
    <col min="13580" max="13580" width="23.44140625" customWidth="1"/>
    <col min="13825" max="13825" width="12.77734375" customWidth="1"/>
    <col min="13826" max="13826" width="19.77734375" customWidth="1"/>
    <col min="13827" max="13827" width="14.21875" customWidth="1"/>
    <col min="13828" max="13828" width="20.21875" customWidth="1"/>
    <col min="13829" max="13829" width="12.109375" customWidth="1"/>
    <col min="13831" max="13831" width="14.44140625" bestFit="1" customWidth="1"/>
    <col min="13832" max="13832" width="14.77734375" bestFit="1" customWidth="1"/>
    <col min="13833" max="13833" width="16" customWidth="1"/>
    <col min="13834" max="13834" width="15.44140625" customWidth="1"/>
    <col min="13835" max="13835" width="22.77734375" customWidth="1"/>
    <col min="13836" max="13836" width="23.44140625" customWidth="1"/>
    <col min="14081" max="14081" width="12.77734375" customWidth="1"/>
    <col min="14082" max="14082" width="19.77734375" customWidth="1"/>
    <col min="14083" max="14083" width="14.21875" customWidth="1"/>
    <col min="14084" max="14084" width="20.21875" customWidth="1"/>
    <col min="14085" max="14085" width="12.109375" customWidth="1"/>
    <col min="14087" max="14087" width="14.44140625" bestFit="1" customWidth="1"/>
    <col min="14088" max="14088" width="14.77734375" bestFit="1" customWidth="1"/>
    <col min="14089" max="14089" width="16" customWidth="1"/>
    <col min="14090" max="14090" width="15.44140625" customWidth="1"/>
    <col min="14091" max="14091" width="22.77734375" customWidth="1"/>
    <col min="14092" max="14092" width="23.44140625" customWidth="1"/>
    <col min="14337" max="14337" width="12.77734375" customWidth="1"/>
    <col min="14338" max="14338" width="19.77734375" customWidth="1"/>
    <col min="14339" max="14339" width="14.21875" customWidth="1"/>
    <col min="14340" max="14340" width="20.21875" customWidth="1"/>
    <col min="14341" max="14341" width="12.109375" customWidth="1"/>
    <col min="14343" max="14343" width="14.44140625" bestFit="1" customWidth="1"/>
    <col min="14344" max="14344" width="14.77734375" bestFit="1" customWidth="1"/>
    <col min="14345" max="14345" width="16" customWidth="1"/>
    <col min="14346" max="14346" width="15.44140625" customWidth="1"/>
    <col min="14347" max="14347" width="22.77734375" customWidth="1"/>
    <col min="14348" max="14348" width="23.44140625" customWidth="1"/>
    <col min="14593" max="14593" width="12.77734375" customWidth="1"/>
    <col min="14594" max="14594" width="19.77734375" customWidth="1"/>
    <col min="14595" max="14595" width="14.21875" customWidth="1"/>
    <col min="14596" max="14596" width="20.21875" customWidth="1"/>
    <col min="14597" max="14597" width="12.109375" customWidth="1"/>
    <col min="14599" max="14599" width="14.44140625" bestFit="1" customWidth="1"/>
    <col min="14600" max="14600" width="14.77734375" bestFit="1" customWidth="1"/>
    <col min="14601" max="14601" width="16" customWidth="1"/>
    <col min="14602" max="14602" width="15.44140625" customWidth="1"/>
    <col min="14603" max="14603" width="22.77734375" customWidth="1"/>
    <col min="14604" max="14604" width="23.44140625" customWidth="1"/>
    <col min="14849" max="14849" width="12.77734375" customWidth="1"/>
    <col min="14850" max="14850" width="19.77734375" customWidth="1"/>
    <col min="14851" max="14851" width="14.21875" customWidth="1"/>
    <col min="14852" max="14852" width="20.21875" customWidth="1"/>
    <col min="14853" max="14853" width="12.109375" customWidth="1"/>
    <col min="14855" max="14855" width="14.44140625" bestFit="1" customWidth="1"/>
    <col min="14856" max="14856" width="14.77734375" bestFit="1" customWidth="1"/>
    <col min="14857" max="14857" width="16" customWidth="1"/>
    <col min="14858" max="14858" width="15.44140625" customWidth="1"/>
    <col min="14859" max="14859" width="22.77734375" customWidth="1"/>
    <col min="14860" max="14860" width="23.44140625" customWidth="1"/>
    <col min="15105" max="15105" width="12.77734375" customWidth="1"/>
    <col min="15106" max="15106" width="19.77734375" customWidth="1"/>
    <col min="15107" max="15107" width="14.21875" customWidth="1"/>
    <col min="15108" max="15108" width="20.21875" customWidth="1"/>
    <col min="15109" max="15109" width="12.109375" customWidth="1"/>
    <col min="15111" max="15111" width="14.44140625" bestFit="1" customWidth="1"/>
    <col min="15112" max="15112" width="14.77734375" bestFit="1" customWidth="1"/>
    <col min="15113" max="15113" width="16" customWidth="1"/>
    <col min="15114" max="15114" width="15.44140625" customWidth="1"/>
    <col min="15115" max="15115" width="22.77734375" customWidth="1"/>
    <col min="15116" max="15116" width="23.44140625" customWidth="1"/>
    <col min="15361" max="15361" width="12.77734375" customWidth="1"/>
    <col min="15362" max="15362" width="19.77734375" customWidth="1"/>
    <col min="15363" max="15363" width="14.21875" customWidth="1"/>
    <col min="15364" max="15364" width="20.21875" customWidth="1"/>
    <col min="15365" max="15365" width="12.109375" customWidth="1"/>
    <col min="15367" max="15367" width="14.44140625" bestFit="1" customWidth="1"/>
    <col min="15368" max="15368" width="14.77734375" bestFit="1" customWidth="1"/>
    <col min="15369" max="15369" width="16" customWidth="1"/>
    <col min="15370" max="15370" width="15.44140625" customWidth="1"/>
    <col min="15371" max="15371" width="22.77734375" customWidth="1"/>
    <col min="15372" max="15372" width="23.44140625" customWidth="1"/>
    <col min="15617" max="15617" width="12.77734375" customWidth="1"/>
    <col min="15618" max="15618" width="19.77734375" customWidth="1"/>
    <col min="15619" max="15619" width="14.21875" customWidth="1"/>
    <col min="15620" max="15620" width="20.21875" customWidth="1"/>
    <col min="15621" max="15621" width="12.109375" customWidth="1"/>
    <col min="15623" max="15623" width="14.44140625" bestFit="1" customWidth="1"/>
    <col min="15624" max="15624" width="14.77734375" bestFit="1" customWidth="1"/>
    <col min="15625" max="15625" width="16" customWidth="1"/>
    <col min="15626" max="15626" width="15.44140625" customWidth="1"/>
    <col min="15627" max="15627" width="22.77734375" customWidth="1"/>
    <col min="15628" max="15628" width="23.44140625" customWidth="1"/>
    <col min="15873" max="15873" width="12.77734375" customWidth="1"/>
    <col min="15874" max="15874" width="19.77734375" customWidth="1"/>
    <col min="15875" max="15875" width="14.21875" customWidth="1"/>
    <col min="15876" max="15876" width="20.21875" customWidth="1"/>
    <col min="15877" max="15877" width="12.109375" customWidth="1"/>
    <col min="15879" max="15879" width="14.44140625" bestFit="1" customWidth="1"/>
    <col min="15880" max="15880" width="14.77734375" bestFit="1" customWidth="1"/>
    <col min="15881" max="15881" width="16" customWidth="1"/>
    <col min="15882" max="15882" width="15.44140625" customWidth="1"/>
    <col min="15883" max="15883" width="22.77734375" customWidth="1"/>
    <col min="15884" max="15884" width="23.44140625" customWidth="1"/>
    <col min="16129" max="16129" width="12.77734375" customWidth="1"/>
    <col min="16130" max="16130" width="19.77734375" customWidth="1"/>
    <col min="16131" max="16131" width="14.21875" customWidth="1"/>
    <col min="16132" max="16132" width="20.21875" customWidth="1"/>
    <col min="16133" max="16133" width="12.109375" customWidth="1"/>
    <col min="16135" max="16135" width="14.44140625" bestFit="1" customWidth="1"/>
    <col min="16136" max="16136" width="14.77734375" bestFit="1" customWidth="1"/>
    <col min="16137" max="16137" width="16" customWidth="1"/>
    <col min="16138" max="16138" width="15.44140625" customWidth="1"/>
    <col min="16139" max="16139" width="22.77734375" customWidth="1"/>
    <col min="16140" max="16140" width="23.44140625" customWidth="1"/>
  </cols>
  <sheetData>
    <row r="1" spans="1:12" ht="48.45" customHeight="1">
      <c r="A1" s="314" t="s">
        <v>208</v>
      </c>
      <c r="B1" s="314" t="s">
        <v>209</v>
      </c>
      <c r="C1" s="314" t="s">
        <v>210</v>
      </c>
      <c r="D1" s="314" t="s">
        <v>211</v>
      </c>
      <c r="E1" s="315" t="s">
        <v>212</v>
      </c>
      <c r="F1" s="316"/>
      <c r="G1" s="316"/>
      <c r="H1" s="316"/>
      <c r="I1" s="316"/>
      <c r="J1" s="316"/>
      <c r="K1" s="316"/>
      <c r="L1" s="317"/>
    </row>
    <row r="2" spans="1:12" ht="31.95" customHeight="1">
      <c r="A2" s="314"/>
      <c r="B2" s="314"/>
      <c r="C2" s="314"/>
      <c r="D2" s="314"/>
      <c r="E2" s="165" t="s">
        <v>213</v>
      </c>
      <c r="F2" s="165" t="s">
        <v>214</v>
      </c>
      <c r="G2" s="165" t="s">
        <v>215</v>
      </c>
      <c r="H2" s="165" t="s">
        <v>216</v>
      </c>
      <c r="I2" s="166" t="s">
        <v>217</v>
      </c>
      <c r="J2" s="166" t="s">
        <v>218</v>
      </c>
      <c r="K2" s="165" t="s">
        <v>219</v>
      </c>
      <c r="L2" s="165" t="s">
        <v>220</v>
      </c>
    </row>
    <row r="3" spans="1:12">
      <c r="A3" s="167">
        <v>1</v>
      </c>
      <c r="B3" s="311" t="s">
        <v>221</v>
      </c>
      <c r="C3" s="312" t="s">
        <v>222</v>
      </c>
      <c r="D3" s="313" t="s">
        <v>223</v>
      </c>
      <c r="E3" s="170">
        <v>8</v>
      </c>
      <c r="F3" s="171">
        <v>4.0199999999999996</v>
      </c>
      <c r="G3" s="172">
        <v>53000</v>
      </c>
      <c r="H3" s="173">
        <v>46593.22</v>
      </c>
      <c r="I3" s="172">
        <f t="shared" ref="I3:I34" si="0">F3*G3</f>
        <v>213059.99999999997</v>
      </c>
      <c r="J3" s="173">
        <f t="shared" ref="J3:J34" si="1">F3*H3</f>
        <v>187304.7444</v>
      </c>
      <c r="K3" s="173">
        <f t="shared" ref="K3:K34" si="2">IF(H3&gt;G3,(H3-G3)*F3,0)</f>
        <v>0</v>
      </c>
      <c r="L3" s="173">
        <f t="shared" ref="L3:L34" si="3">IF(G3&gt;H3,(G3-H3)*F3,0)</f>
        <v>25755.255599999993</v>
      </c>
    </row>
    <row r="4" spans="1:12">
      <c r="A4" s="167">
        <v>2</v>
      </c>
      <c r="B4" s="311"/>
      <c r="C4" s="312"/>
      <c r="D4" s="313"/>
      <c r="E4" s="170">
        <v>10</v>
      </c>
      <c r="F4" s="171">
        <v>4.0199999999999996</v>
      </c>
      <c r="G4" s="172">
        <v>53000</v>
      </c>
      <c r="H4" s="173">
        <v>45067.8</v>
      </c>
      <c r="I4" s="172">
        <f t="shared" si="0"/>
        <v>213059.99999999997</v>
      </c>
      <c r="J4" s="173">
        <f t="shared" si="1"/>
        <v>181172.55599999998</v>
      </c>
      <c r="K4" s="173">
        <f t="shared" si="2"/>
        <v>0</v>
      </c>
      <c r="L4" s="173">
        <f t="shared" si="3"/>
        <v>31887.443999999985</v>
      </c>
    </row>
    <row r="5" spans="1:12">
      <c r="A5" s="167">
        <v>3</v>
      </c>
      <c r="B5" s="311"/>
      <c r="C5" s="312"/>
      <c r="D5" s="313"/>
      <c r="E5" s="170">
        <v>12</v>
      </c>
      <c r="F5" s="171">
        <v>3.02</v>
      </c>
      <c r="G5" s="172">
        <v>53000</v>
      </c>
      <c r="H5" s="173">
        <v>44050.85</v>
      </c>
      <c r="I5" s="172">
        <f t="shared" si="0"/>
        <v>160060</v>
      </c>
      <c r="J5" s="173">
        <f t="shared" si="1"/>
        <v>133033.56700000001</v>
      </c>
      <c r="K5" s="173">
        <f t="shared" si="2"/>
        <v>0</v>
      </c>
      <c r="L5" s="173">
        <f t="shared" si="3"/>
        <v>27026.433000000005</v>
      </c>
    </row>
    <row r="6" spans="1:12">
      <c r="A6" s="167">
        <v>4</v>
      </c>
      <c r="B6" s="311"/>
      <c r="C6" s="312"/>
      <c r="D6" s="313"/>
      <c r="E6" s="171">
        <v>16</v>
      </c>
      <c r="F6" s="171">
        <v>1.93</v>
      </c>
      <c r="G6" s="172">
        <v>53000</v>
      </c>
      <c r="H6" s="173">
        <v>44050.85</v>
      </c>
      <c r="I6" s="172">
        <f t="shared" si="0"/>
        <v>102290</v>
      </c>
      <c r="J6" s="173">
        <f t="shared" si="1"/>
        <v>85018.140499999994</v>
      </c>
      <c r="K6" s="173">
        <f t="shared" si="2"/>
        <v>0</v>
      </c>
      <c r="L6" s="173">
        <f t="shared" si="3"/>
        <v>17271.859500000002</v>
      </c>
    </row>
    <row r="7" spans="1:12">
      <c r="A7" s="167">
        <v>5</v>
      </c>
      <c r="B7" s="311"/>
      <c r="C7" s="312"/>
      <c r="D7" s="313"/>
      <c r="E7" s="171">
        <v>20</v>
      </c>
      <c r="F7" s="171">
        <v>11.05</v>
      </c>
      <c r="G7" s="172">
        <v>53000</v>
      </c>
      <c r="H7" s="173">
        <v>44050.85</v>
      </c>
      <c r="I7" s="172">
        <f t="shared" si="0"/>
        <v>585650</v>
      </c>
      <c r="J7" s="173">
        <f t="shared" si="1"/>
        <v>486761.89250000002</v>
      </c>
      <c r="K7" s="173">
        <f t="shared" si="2"/>
        <v>0</v>
      </c>
      <c r="L7" s="173">
        <f t="shared" si="3"/>
        <v>98888.107500000027</v>
      </c>
    </row>
    <row r="8" spans="1:12">
      <c r="A8" s="174">
        <v>6</v>
      </c>
      <c r="B8" s="318" t="s">
        <v>221</v>
      </c>
      <c r="C8" s="319" t="s">
        <v>224</v>
      </c>
      <c r="D8" s="320" t="s">
        <v>225</v>
      </c>
      <c r="E8" s="176">
        <v>8</v>
      </c>
      <c r="F8" s="177">
        <v>1.01</v>
      </c>
      <c r="G8" s="178">
        <v>53000</v>
      </c>
      <c r="H8" s="179">
        <v>47203</v>
      </c>
      <c r="I8" s="178">
        <f t="shared" si="0"/>
        <v>53530</v>
      </c>
      <c r="J8" s="179">
        <f t="shared" si="1"/>
        <v>47675.03</v>
      </c>
      <c r="K8" s="179">
        <f t="shared" si="2"/>
        <v>0</v>
      </c>
      <c r="L8" s="179">
        <f t="shared" si="3"/>
        <v>5854.97</v>
      </c>
    </row>
    <row r="9" spans="1:12">
      <c r="A9" s="174">
        <v>7</v>
      </c>
      <c r="B9" s="318"/>
      <c r="C9" s="319"/>
      <c r="D9" s="320"/>
      <c r="E9" s="176">
        <v>10</v>
      </c>
      <c r="F9" s="180">
        <v>1.9</v>
      </c>
      <c r="G9" s="178">
        <v>53000</v>
      </c>
      <c r="H9" s="179">
        <v>45678</v>
      </c>
      <c r="I9" s="178">
        <f t="shared" si="0"/>
        <v>100700</v>
      </c>
      <c r="J9" s="179">
        <f t="shared" si="1"/>
        <v>86788.2</v>
      </c>
      <c r="K9" s="179">
        <f t="shared" si="2"/>
        <v>0</v>
      </c>
      <c r="L9" s="179">
        <f t="shared" si="3"/>
        <v>13911.8</v>
      </c>
    </row>
    <row r="10" spans="1:12">
      <c r="A10" s="174">
        <v>8</v>
      </c>
      <c r="B10" s="318"/>
      <c r="C10" s="319"/>
      <c r="D10" s="320"/>
      <c r="E10" s="176">
        <v>12</v>
      </c>
      <c r="F10" s="177">
        <v>1.97</v>
      </c>
      <c r="G10" s="178">
        <v>53000</v>
      </c>
      <c r="H10" s="179">
        <v>44661</v>
      </c>
      <c r="I10" s="178">
        <f t="shared" si="0"/>
        <v>104410</v>
      </c>
      <c r="J10" s="179">
        <f t="shared" si="1"/>
        <v>87982.17</v>
      </c>
      <c r="K10" s="179">
        <f t="shared" si="2"/>
        <v>0</v>
      </c>
      <c r="L10" s="179">
        <f t="shared" si="3"/>
        <v>16427.829999999998</v>
      </c>
    </row>
    <row r="11" spans="1:12">
      <c r="A11" s="174">
        <v>9</v>
      </c>
      <c r="B11" s="318"/>
      <c r="C11" s="319"/>
      <c r="D11" s="320"/>
      <c r="E11" s="177">
        <v>16</v>
      </c>
      <c r="F11" s="177">
        <v>5.0199999999999996</v>
      </c>
      <c r="G11" s="178">
        <v>53000</v>
      </c>
      <c r="H11" s="179">
        <v>44661</v>
      </c>
      <c r="I11" s="178">
        <f t="shared" si="0"/>
        <v>266060</v>
      </c>
      <c r="J11" s="179">
        <f t="shared" si="1"/>
        <v>224198.21999999997</v>
      </c>
      <c r="K11" s="179">
        <f t="shared" si="2"/>
        <v>0</v>
      </c>
      <c r="L11" s="179">
        <f t="shared" si="3"/>
        <v>41861.78</v>
      </c>
    </row>
    <row r="12" spans="1:12">
      <c r="A12" s="167">
        <v>10</v>
      </c>
      <c r="B12" s="311" t="s">
        <v>226</v>
      </c>
      <c r="C12" s="312" t="s">
        <v>222</v>
      </c>
      <c r="D12" s="313" t="s">
        <v>227</v>
      </c>
      <c r="E12" s="170">
        <v>8</v>
      </c>
      <c r="F12" s="171">
        <v>3.63</v>
      </c>
      <c r="G12" s="172">
        <v>53000</v>
      </c>
      <c r="H12" s="173">
        <v>46560</v>
      </c>
      <c r="I12" s="172">
        <f t="shared" si="0"/>
        <v>192390</v>
      </c>
      <c r="J12" s="173">
        <f t="shared" si="1"/>
        <v>169012.8</v>
      </c>
      <c r="K12" s="173">
        <f t="shared" si="2"/>
        <v>0</v>
      </c>
      <c r="L12" s="173">
        <f t="shared" si="3"/>
        <v>23377.200000000001</v>
      </c>
    </row>
    <row r="13" spans="1:12">
      <c r="A13" s="181">
        <v>11</v>
      </c>
      <c r="B13" s="311"/>
      <c r="C13" s="312"/>
      <c r="D13" s="313"/>
      <c r="E13" s="170">
        <v>10</v>
      </c>
      <c r="F13" s="182">
        <v>1.07</v>
      </c>
      <c r="G13" s="172">
        <v>53000</v>
      </c>
      <c r="H13" s="173">
        <v>45030</v>
      </c>
      <c r="I13" s="172">
        <f t="shared" si="0"/>
        <v>56710</v>
      </c>
      <c r="J13" s="173">
        <f t="shared" si="1"/>
        <v>48182.100000000006</v>
      </c>
      <c r="K13" s="173">
        <f t="shared" si="2"/>
        <v>0</v>
      </c>
      <c r="L13" s="173">
        <f t="shared" si="3"/>
        <v>8527.9</v>
      </c>
    </row>
    <row r="14" spans="1:12">
      <c r="A14" s="181">
        <v>12</v>
      </c>
      <c r="B14" s="311"/>
      <c r="C14" s="312"/>
      <c r="D14" s="313"/>
      <c r="E14" s="170">
        <v>12</v>
      </c>
      <c r="F14" s="171">
        <v>4.51</v>
      </c>
      <c r="G14" s="172">
        <v>53000</v>
      </c>
      <c r="H14" s="173">
        <v>44020</v>
      </c>
      <c r="I14" s="172">
        <f t="shared" si="0"/>
        <v>239030</v>
      </c>
      <c r="J14" s="173">
        <f t="shared" si="1"/>
        <v>198530.19999999998</v>
      </c>
      <c r="K14" s="173">
        <f t="shared" si="2"/>
        <v>0</v>
      </c>
      <c r="L14" s="173">
        <f t="shared" si="3"/>
        <v>40499.799999999996</v>
      </c>
    </row>
    <row r="15" spans="1:12">
      <c r="A15" s="181">
        <v>13</v>
      </c>
      <c r="B15" s="311"/>
      <c r="C15" s="312"/>
      <c r="D15" s="313"/>
      <c r="E15" s="171">
        <v>16</v>
      </c>
      <c r="F15" s="171">
        <v>3.44</v>
      </c>
      <c r="G15" s="172">
        <v>53000</v>
      </c>
      <c r="H15" s="173">
        <v>44020</v>
      </c>
      <c r="I15" s="172">
        <f t="shared" si="0"/>
        <v>182320</v>
      </c>
      <c r="J15" s="173">
        <f t="shared" si="1"/>
        <v>151428.79999999999</v>
      </c>
      <c r="K15" s="173">
        <f t="shared" si="2"/>
        <v>0</v>
      </c>
      <c r="L15" s="173">
        <f t="shared" si="3"/>
        <v>30891.200000000001</v>
      </c>
    </row>
    <row r="16" spans="1:12">
      <c r="A16" s="174">
        <v>10</v>
      </c>
      <c r="B16" s="321" t="s">
        <v>226</v>
      </c>
      <c r="C16" s="319" t="s">
        <v>228</v>
      </c>
      <c r="D16" s="320" t="s">
        <v>229</v>
      </c>
      <c r="E16" s="176">
        <v>8</v>
      </c>
      <c r="F16" s="177">
        <v>2.5</v>
      </c>
      <c r="G16" s="178">
        <v>53000</v>
      </c>
      <c r="H16" s="179">
        <v>46272</v>
      </c>
      <c r="I16" s="178">
        <f t="shared" si="0"/>
        <v>132500</v>
      </c>
      <c r="J16" s="179">
        <f t="shared" si="1"/>
        <v>115680</v>
      </c>
      <c r="K16" s="179">
        <f t="shared" si="2"/>
        <v>0</v>
      </c>
      <c r="L16" s="179">
        <f t="shared" si="3"/>
        <v>16820</v>
      </c>
    </row>
    <row r="17" spans="1:12">
      <c r="A17" s="174">
        <v>11</v>
      </c>
      <c r="B17" s="322"/>
      <c r="C17" s="319"/>
      <c r="D17" s="320"/>
      <c r="E17" s="176">
        <v>10</v>
      </c>
      <c r="F17" s="180">
        <v>0.52</v>
      </c>
      <c r="G17" s="178">
        <v>53000</v>
      </c>
      <c r="H17" s="179">
        <v>44916</v>
      </c>
      <c r="I17" s="178">
        <f t="shared" si="0"/>
        <v>27560</v>
      </c>
      <c r="J17" s="179">
        <f t="shared" si="1"/>
        <v>23356.32</v>
      </c>
      <c r="K17" s="179">
        <f t="shared" si="2"/>
        <v>0</v>
      </c>
      <c r="L17" s="179">
        <f t="shared" si="3"/>
        <v>4203.68</v>
      </c>
    </row>
    <row r="18" spans="1:12">
      <c r="A18" s="174">
        <v>12</v>
      </c>
      <c r="B18" s="322"/>
      <c r="C18" s="319"/>
      <c r="D18" s="320"/>
      <c r="E18" s="176">
        <v>16</v>
      </c>
      <c r="F18" s="177">
        <v>5.21</v>
      </c>
      <c r="G18" s="178">
        <v>53000</v>
      </c>
      <c r="H18" s="179">
        <v>44068</v>
      </c>
      <c r="I18" s="178">
        <f t="shared" si="0"/>
        <v>276130</v>
      </c>
      <c r="J18" s="179">
        <f t="shared" si="1"/>
        <v>229594.28</v>
      </c>
      <c r="K18" s="179">
        <f t="shared" si="2"/>
        <v>0</v>
      </c>
      <c r="L18" s="179">
        <f t="shared" si="3"/>
        <v>46535.72</v>
      </c>
    </row>
    <row r="19" spans="1:12">
      <c r="A19" s="174">
        <v>13</v>
      </c>
      <c r="B19" s="323"/>
      <c r="C19" s="319"/>
      <c r="D19" s="320"/>
      <c r="E19" s="177">
        <v>20</v>
      </c>
      <c r="F19" s="177">
        <v>4.93</v>
      </c>
      <c r="G19" s="178">
        <v>53000</v>
      </c>
      <c r="H19" s="179">
        <v>44068</v>
      </c>
      <c r="I19" s="178">
        <f t="shared" si="0"/>
        <v>261289.99999999997</v>
      </c>
      <c r="J19" s="179">
        <f t="shared" si="1"/>
        <v>217255.24</v>
      </c>
      <c r="K19" s="179">
        <f t="shared" si="2"/>
        <v>0</v>
      </c>
      <c r="L19" s="179">
        <f t="shared" si="3"/>
        <v>44034.759999999995</v>
      </c>
    </row>
    <row r="20" spans="1:12">
      <c r="A20" s="167">
        <v>14</v>
      </c>
      <c r="B20" s="311" t="s">
        <v>226</v>
      </c>
      <c r="C20" s="312" t="s">
        <v>228</v>
      </c>
      <c r="D20" s="313" t="s">
        <v>230</v>
      </c>
      <c r="E20" s="170">
        <v>8</v>
      </c>
      <c r="F20" s="171">
        <v>12.09</v>
      </c>
      <c r="G20" s="172">
        <v>53000</v>
      </c>
      <c r="H20" s="173">
        <v>45423</v>
      </c>
      <c r="I20" s="172">
        <f t="shared" si="0"/>
        <v>640770</v>
      </c>
      <c r="J20" s="173">
        <f t="shared" si="1"/>
        <v>549164.06999999995</v>
      </c>
      <c r="K20" s="173">
        <f t="shared" si="2"/>
        <v>0</v>
      </c>
      <c r="L20" s="173">
        <f t="shared" si="3"/>
        <v>91605.93</v>
      </c>
    </row>
    <row r="21" spans="1:12">
      <c r="A21" s="167">
        <v>15</v>
      </c>
      <c r="B21" s="311"/>
      <c r="C21" s="312"/>
      <c r="D21" s="313"/>
      <c r="E21" s="170">
        <v>10</v>
      </c>
      <c r="F21" s="182">
        <v>0.22</v>
      </c>
      <c r="G21" s="172">
        <v>53000</v>
      </c>
      <c r="H21" s="173">
        <v>44237</v>
      </c>
      <c r="I21" s="172">
        <f t="shared" si="0"/>
        <v>11660</v>
      </c>
      <c r="J21" s="173">
        <f t="shared" si="1"/>
        <v>9732.14</v>
      </c>
      <c r="K21" s="173">
        <f t="shared" si="2"/>
        <v>0</v>
      </c>
      <c r="L21" s="173">
        <f t="shared" si="3"/>
        <v>1927.86</v>
      </c>
    </row>
    <row r="22" spans="1:12">
      <c r="A22" s="167">
        <v>16</v>
      </c>
      <c r="B22" s="311"/>
      <c r="C22" s="312"/>
      <c r="D22" s="313"/>
      <c r="E22" s="170">
        <v>12</v>
      </c>
      <c r="F22" s="171">
        <v>3.65</v>
      </c>
      <c r="G22" s="172">
        <v>53000</v>
      </c>
      <c r="H22" s="173">
        <v>43390</v>
      </c>
      <c r="I22" s="172">
        <f t="shared" si="0"/>
        <v>193450</v>
      </c>
      <c r="J22" s="173">
        <f t="shared" si="1"/>
        <v>158373.5</v>
      </c>
      <c r="K22" s="173">
        <f t="shared" si="2"/>
        <v>0</v>
      </c>
      <c r="L22" s="173">
        <f t="shared" si="3"/>
        <v>35076.5</v>
      </c>
    </row>
    <row r="23" spans="1:12">
      <c r="A23" s="181">
        <v>17</v>
      </c>
      <c r="B23" s="311"/>
      <c r="C23" s="312"/>
      <c r="D23" s="313"/>
      <c r="E23" s="171">
        <v>16</v>
      </c>
      <c r="F23" s="171">
        <v>5.81</v>
      </c>
      <c r="G23" s="172">
        <v>53000</v>
      </c>
      <c r="H23" s="173">
        <v>43390</v>
      </c>
      <c r="I23" s="172">
        <f t="shared" si="0"/>
        <v>307930</v>
      </c>
      <c r="J23" s="173">
        <f t="shared" si="1"/>
        <v>252095.9</v>
      </c>
      <c r="K23" s="173">
        <f t="shared" si="2"/>
        <v>0</v>
      </c>
      <c r="L23" s="173">
        <f t="shared" si="3"/>
        <v>55834.1</v>
      </c>
    </row>
    <row r="24" spans="1:12">
      <c r="A24" s="181">
        <v>18</v>
      </c>
      <c r="B24" s="311"/>
      <c r="C24" s="312"/>
      <c r="D24" s="313"/>
      <c r="E24" s="171">
        <v>20</v>
      </c>
      <c r="F24" s="171">
        <v>7.02</v>
      </c>
      <c r="G24" s="172">
        <v>53000</v>
      </c>
      <c r="H24" s="173">
        <v>43220</v>
      </c>
      <c r="I24" s="172">
        <f t="shared" si="0"/>
        <v>372060</v>
      </c>
      <c r="J24" s="173">
        <f t="shared" si="1"/>
        <v>303404.39999999997</v>
      </c>
      <c r="K24" s="173">
        <f t="shared" si="2"/>
        <v>0</v>
      </c>
      <c r="L24" s="173">
        <f t="shared" si="3"/>
        <v>68655.599999999991</v>
      </c>
    </row>
    <row r="25" spans="1:12">
      <c r="A25" s="174">
        <v>14</v>
      </c>
      <c r="B25" s="321" t="s">
        <v>226</v>
      </c>
      <c r="C25" s="324" t="s">
        <v>222</v>
      </c>
      <c r="D25" s="326" t="s">
        <v>231</v>
      </c>
      <c r="E25" s="176">
        <v>8</v>
      </c>
      <c r="F25" s="177">
        <v>12.86</v>
      </c>
      <c r="G25" s="178">
        <v>53000</v>
      </c>
      <c r="H25" s="179">
        <v>44070</v>
      </c>
      <c r="I25" s="178">
        <f t="shared" si="0"/>
        <v>681580</v>
      </c>
      <c r="J25" s="179">
        <f t="shared" si="1"/>
        <v>566740.19999999995</v>
      </c>
      <c r="K25" s="179">
        <f t="shared" si="2"/>
        <v>0</v>
      </c>
      <c r="L25" s="179">
        <f t="shared" si="3"/>
        <v>114839.79999999999</v>
      </c>
    </row>
    <row r="26" spans="1:12">
      <c r="A26" s="174">
        <v>15</v>
      </c>
      <c r="B26" s="322"/>
      <c r="C26" s="325"/>
      <c r="D26" s="327"/>
      <c r="E26" s="176">
        <v>10</v>
      </c>
      <c r="F26" s="180">
        <v>1</v>
      </c>
      <c r="G26" s="178">
        <v>53000</v>
      </c>
      <c r="H26" s="179">
        <v>42880</v>
      </c>
      <c r="I26" s="178">
        <f t="shared" si="0"/>
        <v>53000</v>
      </c>
      <c r="J26" s="179">
        <f t="shared" si="1"/>
        <v>42880</v>
      </c>
      <c r="K26" s="179">
        <f t="shared" si="2"/>
        <v>0</v>
      </c>
      <c r="L26" s="179">
        <f t="shared" si="3"/>
        <v>10120</v>
      </c>
    </row>
    <row r="27" spans="1:12">
      <c r="A27" s="174">
        <v>16</v>
      </c>
      <c r="B27" s="322"/>
      <c r="C27" s="325"/>
      <c r="D27" s="327"/>
      <c r="E27" s="176">
        <v>12</v>
      </c>
      <c r="F27" s="177">
        <v>3.52</v>
      </c>
      <c r="G27" s="178">
        <v>53000</v>
      </c>
      <c r="H27" s="179">
        <v>42030</v>
      </c>
      <c r="I27" s="178">
        <f t="shared" si="0"/>
        <v>186560</v>
      </c>
      <c r="J27" s="179">
        <f t="shared" si="1"/>
        <v>147945.60000000001</v>
      </c>
      <c r="K27" s="179">
        <f t="shared" si="2"/>
        <v>0</v>
      </c>
      <c r="L27" s="179">
        <f t="shared" si="3"/>
        <v>38614.400000000001</v>
      </c>
    </row>
    <row r="28" spans="1:12">
      <c r="A28" s="174">
        <v>17</v>
      </c>
      <c r="B28" s="322"/>
      <c r="C28" s="325"/>
      <c r="D28" s="327"/>
      <c r="E28" s="177">
        <v>16</v>
      </c>
      <c r="F28" s="177">
        <v>6.21</v>
      </c>
      <c r="G28" s="178">
        <v>53000</v>
      </c>
      <c r="H28" s="179">
        <v>42030</v>
      </c>
      <c r="I28" s="178">
        <f t="shared" si="0"/>
        <v>329130</v>
      </c>
      <c r="J28" s="179">
        <f t="shared" si="1"/>
        <v>261006.3</v>
      </c>
      <c r="K28" s="179">
        <f t="shared" si="2"/>
        <v>0</v>
      </c>
      <c r="L28" s="179">
        <f t="shared" si="3"/>
        <v>68123.7</v>
      </c>
    </row>
    <row r="29" spans="1:12">
      <c r="A29" s="174">
        <v>18</v>
      </c>
      <c r="B29" s="323"/>
      <c r="C29" s="329"/>
      <c r="D29" s="330"/>
      <c r="E29" s="177">
        <v>20</v>
      </c>
      <c r="F29" s="177">
        <v>6.75</v>
      </c>
      <c r="G29" s="178">
        <v>53000</v>
      </c>
      <c r="H29" s="179">
        <v>41700</v>
      </c>
      <c r="I29" s="178">
        <f t="shared" si="0"/>
        <v>357750</v>
      </c>
      <c r="J29" s="179">
        <f t="shared" si="1"/>
        <v>281475</v>
      </c>
      <c r="K29" s="179">
        <f t="shared" si="2"/>
        <v>0</v>
      </c>
      <c r="L29" s="179">
        <f t="shared" si="3"/>
        <v>76275</v>
      </c>
    </row>
    <row r="30" spans="1:12">
      <c r="A30" s="167">
        <v>19</v>
      </c>
      <c r="B30" s="311" t="s">
        <v>226</v>
      </c>
      <c r="C30" s="312" t="s">
        <v>228</v>
      </c>
      <c r="D30" s="313" t="s">
        <v>232</v>
      </c>
      <c r="E30" s="170">
        <v>8</v>
      </c>
      <c r="F30" s="171">
        <v>16.16</v>
      </c>
      <c r="G30" s="172">
        <v>53000</v>
      </c>
      <c r="H30" s="173">
        <v>44830</v>
      </c>
      <c r="I30" s="172">
        <f t="shared" si="0"/>
        <v>856480</v>
      </c>
      <c r="J30" s="173">
        <f t="shared" si="1"/>
        <v>724452.8</v>
      </c>
      <c r="K30" s="173">
        <f t="shared" si="2"/>
        <v>0</v>
      </c>
      <c r="L30" s="173">
        <f t="shared" si="3"/>
        <v>132027.20000000001</v>
      </c>
    </row>
    <row r="31" spans="1:12">
      <c r="A31" s="167">
        <v>20</v>
      </c>
      <c r="B31" s="311"/>
      <c r="C31" s="312"/>
      <c r="D31" s="313"/>
      <c r="E31" s="170">
        <v>10</v>
      </c>
      <c r="F31" s="182">
        <v>0.95</v>
      </c>
      <c r="G31" s="172">
        <v>53000</v>
      </c>
      <c r="H31" s="173">
        <v>43640</v>
      </c>
      <c r="I31" s="172">
        <f t="shared" si="0"/>
        <v>50350</v>
      </c>
      <c r="J31" s="173">
        <f t="shared" si="1"/>
        <v>41458</v>
      </c>
      <c r="K31" s="173">
        <f t="shared" si="2"/>
        <v>0</v>
      </c>
      <c r="L31" s="173">
        <f t="shared" si="3"/>
        <v>8892</v>
      </c>
    </row>
    <row r="32" spans="1:12">
      <c r="A32" s="167">
        <v>21</v>
      </c>
      <c r="B32" s="311"/>
      <c r="C32" s="312"/>
      <c r="D32" s="313"/>
      <c r="E32" s="170">
        <v>12</v>
      </c>
      <c r="F32" s="171">
        <v>4.6100000000000003</v>
      </c>
      <c r="G32" s="172">
        <v>53000</v>
      </c>
      <c r="H32" s="173">
        <v>42800</v>
      </c>
      <c r="I32" s="172">
        <f t="shared" si="0"/>
        <v>244330.00000000003</v>
      </c>
      <c r="J32" s="173">
        <f t="shared" si="1"/>
        <v>197308</v>
      </c>
      <c r="K32" s="173">
        <f t="shared" si="2"/>
        <v>0</v>
      </c>
      <c r="L32" s="173">
        <f t="shared" si="3"/>
        <v>47022</v>
      </c>
    </row>
    <row r="33" spans="1:13">
      <c r="A33" s="167">
        <v>22</v>
      </c>
      <c r="B33" s="311"/>
      <c r="C33" s="312"/>
      <c r="D33" s="313"/>
      <c r="E33" s="171">
        <v>16</v>
      </c>
      <c r="F33" s="171">
        <v>7.74</v>
      </c>
      <c r="G33" s="172">
        <v>53000</v>
      </c>
      <c r="H33" s="173">
        <v>42800</v>
      </c>
      <c r="I33" s="172">
        <f t="shared" si="0"/>
        <v>410220</v>
      </c>
      <c r="J33" s="173">
        <f t="shared" si="1"/>
        <v>331272</v>
      </c>
      <c r="K33" s="173">
        <f t="shared" si="2"/>
        <v>0</v>
      </c>
      <c r="L33" s="173">
        <f t="shared" si="3"/>
        <v>78948</v>
      </c>
    </row>
    <row r="34" spans="1:13" ht="15.45" customHeight="1">
      <c r="A34" s="167">
        <v>23</v>
      </c>
      <c r="B34" s="311"/>
      <c r="C34" s="312"/>
      <c r="D34" s="313"/>
      <c r="E34" s="171">
        <v>20</v>
      </c>
      <c r="F34" s="171">
        <v>2.78</v>
      </c>
      <c r="G34" s="172">
        <v>53000</v>
      </c>
      <c r="H34" s="173">
        <v>42460</v>
      </c>
      <c r="I34" s="172">
        <f t="shared" si="0"/>
        <v>147340</v>
      </c>
      <c r="J34" s="173">
        <f t="shared" si="1"/>
        <v>118038.79999999999</v>
      </c>
      <c r="K34" s="173">
        <f t="shared" si="2"/>
        <v>0</v>
      </c>
      <c r="L34" s="173">
        <f t="shared" si="3"/>
        <v>29301.199999999997</v>
      </c>
    </row>
    <row r="35" spans="1:13">
      <c r="A35" s="174">
        <v>24</v>
      </c>
      <c r="B35" s="321" t="s">
        <v>226</v>
      </c>
      <c r="C35" s="324" t="s">
        <v>222</v>
      </c>
      <c r="D35" s="326" t="s">
        <v>233</v>
      </c>
      <c r="E35" s="176">
        <v>8</v>
      </c>
      <c r="F35" s="177">
        <v>10.51</v>
      </c>
      <c r="G35" s="178">
        <v>53000</v>
      </c>
      <c r="H35" s="179">
        <v>46440</v>
      </c>
      <c r="I35" s="178">
        <f>F35*G35</f>
        <v>557030</v>
      </c>
      <c r="J35" s="179">
        <f>F35*H35</f>
        <v>488084.39999999997</v>
      </c>
      <c r="K35" s="179">
        <f>IF(H35&gt;G35,(H35-G35)*F35,0)</f>
        <v>0</v>
      </c>
      <c r="L35" s="179">
        <f>IF(G35&gt;H35,(G35-H35)*F35,0)</f>
        <v>68945.600000000006</v>
      </c>
    </row>
    <row r="36" spans="1:13">
      <c r="A36" s="174">
        <v>25</v>
      </c>
      <c r="B36" s="322"/>
      <c r="C36" s="325"/>
      <c r="D36" s="327"/>
      <c r="E36" s="176">
        <v>10</v>
      </c>
      <c r="F36" s="180">
        <v>0.51</v>
      </c>
      <c r="G36" s="178">
        <v>53000</v>
      </c>
      <c r="H36" s="179">
        <v>45250</v>
      </c>
      <c r="I36" s="178">
        <f>F36*G36</f>
        <v>27030</v>
      </c>
      <c r="J36" s="179">
        <f>F36*H36</f>
        <v>23077.5</v>
      </c>
      <c r="K36" s="179">
        <f>IF(H36&gt;G36,(H36-G36)*F36,0)</f>
        <v>0</v>
      </c>
      <c r="L36" s="179">
        <f>IF(G36&gt;H36,(G36-H36)*F36,0)</f>
        <v>3952.5</v>
      </c>
    </row>
    <row r="37" spans="1:13">
      <c r="A37" s="174">
        <v>26</v>
      </c>
      <c r="B37" s="322"/>
      <c r="C37" s="325"/>
      <c r="D37" s="327"/>
      <c r="E37" s="176">
        <v>12</v>
      </c>
      <c r="F37" s="177">
        <v>3.96</v>
      </c>
      <c r="G37" s="178">
        <v>53000</v>
      </c>
      <c r="H37" s="179">
        <v>44410</v>
      </c>
      <c r="I37" s="178">
        <f>F37*G37</f>
        <v>209880</v>
      </c>
      <c r="J37" s="179">
        <f>F37*H37</f>
        <v>175863.6</v>
      </c>
      <c r="K37" s="179">
        <f>IF(H37&gt;G37,(H37-G37)*F37,0)</f>
        <v>0</v>
      </c>
      <c r="L37" s="179">
        <f>IF(G37&gt;H37,(G37-H37)*F37,0)</f>
        <v>34016.400000000001</v>
      </c>
    </row>
    <row r="38" spans="1:13">
      <c r="A38" s="174">
        <v>27</v>
      </c>
      <c r="B38" s="322"/>
      <c r="C38" s="325"/>
      <c r="D38" s="327"/>
      <c r="E38" s="177">
        <v>16</v>
      </c>
      <c r="F38" s="177">
        <v>6.83</v>
      </c>
      <c r="G38" s="178">
        <v>53000</v>
      </c>
      <c r="H38" s="179">
        <v>44410</v>
      </c>
      <c r="I38" s="178">
        <f>F38*G38</f>
        <v>361990</v>
      </c>
      <c r="J38" s="179">
        <f>F38*H38</f>
        <v>303320.3</v>
      </c>
      <c r="K38" s="179">
        <f>IF(H38&gt;G38,(H38-G38)*F38,0)</f>
        <v>0</v>
      </c>
      <c r="L38" s="179">
        <f>IF(G38&gt;H38,(G38-H38)*F38,0)</f>
        <v>58669.7</v>
      </c>
    </row>
    <row r="39" spans="1:13" ht="13.5" customHeight="1">
      <c r="A39" s="328" t="s">
        <v>234</v>
      </c>
      <c r="B39" s="328"/>
      <c r="C39" s="328"/>
      <c r="D39" s="328"/>
      <c r="E39" s="328"/>
      <c r="F39" s="184">
        <f>SUM(F3:F38)</f>
        <v>172.93</v>
      </c>
      <c r="G39" s="184"/>
      <c r="H39" s="184"/>
      <c r="I39" s="184">
        <f>SUM(I3:I38)</f>
        <v>9165290</v>
      </c>
      <c r="J39" s="184">
        <f>SUM(J3:J38)</f>
        <v>7648666.7703999989</v>
      </c>
      <c r="K39" s="184">
        <f>SUM(K3:K15)</f>
        <v>0</v>
      </c>
      <c r="L39" s="184">
        <f>SUM(L3:L38)</f>
        <v>1516623.2295999995</v>
      </c>
      <c r="M39" s="217">
        <f>L39/100000</f>
        <v>15.166232295999995</v>
      </c>
    </row>
    <row r="40" spans="1:13">
      <c r="H40" s="185"/>
      <c r="J40" s="185"/>
      <c r="K40" s="185"/>
      <c r="L40" s="186"/>
    </row>
    <row r="41" spans="1:13">
      <c r="H41" s="185"/>
      <c r="J41" s="185"/>
      <c r="K41" s="185"/>
      <c r="L41" s="186"/>
    </row>
    <row r="42" spans="1:13">
      <c r="A42" t="s">
        <v>245</v>
      </c>
      <c r="B42" s="202">
        <f>L39</f>
        <v>1516623.2295999995</v>
      </c>
      <c r="H42" s="185"/>
      <c r="L42" s="187"/>
    </row>
  </sheetData>
  <sheetProtection formatCells="0" formatColumns="0" formatRows="0" insertColumns="0" insertRows="0" insertHyperlinks="0" deleteColumns="0" deleteRows="0" sort="0" autoFilter="0" pivotTables="0"/>
  <mergeCells count="30">
    <mergeCell ref="B35:B38"/>
    <mergeCell ref="C35:C38"/>
    <mergeCell ref="D35:D38"/>
    <mergeCell ref="A39:E39"/>
    <mergeCell ref="B25:B29"/>
    <mergeCell ref="C25:C29"/>
    <mergeCell ref="D25:D29"/>
    <mergeCell ref="B30:B34"/>
    <mergeCell ref="C30:C34"/>
    <mergeCell ref="D30:D34"/>
    <mergeCell ref="B16:B19"/>
    <mergeCell ref="C16:C19"/>
    <mergeCell ref="D16:D19"/>
    <mergeCell ref="B20:B24"/>
    <mergeCell ref="C20:C24"/>
    <mergeCell ref="D20:D24"/>
    <mergeCell ref="E1:L1"/>
    <mergeCell ref="B8:B11"/>
    <mergeCell ref="C8:C11"/>
    <mergeCell ref="D8:D11"/>
    <mergeCell ref="B12:B15"/>
    <mergeCell ref="C12:C15"/>
    <mergeCell ref="D12:D15"/>
    <mergeCell ref="B3:B7"/>
    <mergeCell ref="C3:C7"/>
    <mergeCell ref="D3:D7"/>
    <mergeCell ref="A1:A2"/>
    <mergeCell ref="B1:B2"/>
    <mergeCell ref="C1:C2"/>
    <mergeCell ref="D1:D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E6E45-7DE9-45FC-80AB-4A4691E4A059}">
  <sheetPr>
    <tabColor theme="8" tint="-0.499984740745262"/>
  </sheetPr>
  <dimension ref="A1:L17"/>
  <sheetViews>
    <sheetView zoomScale="89" zoomScaleNormal="100" workbookViewId="0">
      <selection activeCell="L10" sqref="L10"/>
    </sheetView>
  </sheetViews>
  <sheetFormatPr defaultColWidth="8.77734375" defaultRowHeight="13.8"/>
  <cols>
    <col min="1" max="1" width="8.77734375" style="188"/>
    <col min="2" max="2" width="16.6640625" style="188" customWidth="1"/>
    <col min="3" max="3" width="25.88671875" style="188" customWidth="1"/>
    <col min="4" max="4" width="16.33203125" style="188" customWidth="1"/>
    <col min="5" max="5" width="10.33203125" style="188" bestFit="1" customWidth="1"/>
    <col min="6" max="6" width="10.77734375" style="188" customWidth="1"/>
    <col min="7" max="7" width="14.6640625" style="188" customWidth="1"/>
    <col min="8" max="8" width="18.33203125" style="188" customWidth="1"/>
    <col min="9" max="10" width="20.44140625" style="188" customWidth="1"/>
    <col min="11" max="11" width="20.33203125" style="188" customWidth="1"/>
    <col min="12" max="257" width="8.77734375" style="188"/>
    <col min="258" max="258" width="16.6640625" style="188" customWidth="1"/>
    <col min="259" max="259" width="25.88671875" style="188" customWidth="1"/>
    <col min="260" max="260" width="16.33203125" style="188" customWidth="1"/>
    <col min="261" max="261" width="10.33203125" style="188" bestFit="1" customWidth="1"/>
    <col min="262" max="262" width="10.77734375" style="188" customWidth="1"/>
    <col min="263" max="263" width="14.6640625" style="188" customWidth="1"/>
    <col min="264" max="264" width="18.33203125" style="188" customWidth="1"/>
    <col min="265" max="266" width="20.44140625" style="188" customWidth="1"/>
    <col min="267" max="267" width="20.33203125" style="188" customWidth="1"/>
    <col min="268" max="513" width="8.77734375" style="188"/>
    <col min="514" max="514" width="16.6640625" style="188" customWidth="1"/>
    <col min="515" max="515" width="25.88671875" style="188" customWidth="1"/>
    <col min="516" max="516" width="16.33203125" style="188" customWidth="1"/>
    <col min="517" max="517" width="10.33203125" style="188" bestFit="1" customWidth="1"/>
    <col min="518" max="518" width="10.77734375" style="188" customWidth="1"/>
    <col min="519" max="519" width="14.6640625" style="188" customWidth="1"/>
    <col min="520" max="520" width="18.33203125" style="188" customWidth="1"/>
    <col min="521" max="522" width="20.44140625" style="188" customWidth="1"/>
    <col min="523" max="523" width="20.33203125" style="188" customWidth="1"/>
    <col min="524" max="769" width="8.77734375" style="188"/>
    <col min="770" max="770" width="16.6640625" style="188" customWidth="1"/>
    <col min="771" max="771" width="25.88671875" style="188" customWidth="1"/>
    <col min="772" max="772" width="16.33203125" style="188" customWidth="1"/>
    <col min="773" max="773" width="10.33203125" style="188" bestFit="1" customWidth="1"/>
    <col min="774" max="774" width="10.77734375" style="188" customWidth="1"/>
    <col min="775" max="775" width="14.6640625" style="188" customWidth="1"/>
    <col min="776" max="776" width="18.33203125" style="188" customWidth="1"/>
    <col min="777" max="778" width="20.44140625" style="188" customWidth="1"/>
    <col min="779" max="779" width="20.33203125" style="188" customWidth="1"/>
    <col min="780" max="1025" width="8.77734375" style="188"/>
    <col min="1026" max="1026" width="16.6640625" style="188" customWidth="1"/>
    <col min="1027" max="1027" width="25.88671875" style="188" customWidth="1"/>
    <col min="1028" max="1028" width="16.33203125" style="188" customWidth="1"/>
    <col min="1029" max="1029" width="10.33203125" style="188" bestFit="1" customWidth="1"/>
    <col min="1030" max="1030" width="10.77734375" style="188" customWidth="1"/>
    <col min="1031" max="1031" width="14.6640625" style="188" customWidth="1"/>
    <col min="1032" max="1032" width="18.33203125" style="188" customWidth="1"/>
    <col min="1033" max="1034" width="20.44140625" style="188" customWidth="1"/>
    <col min="1035" max="1035" width="20.33203125" style="188" customWidth="1"/>
    <col min="1036" max="1281" width="8.77734375" style="188"/>
    <col min="1282" max="1282" width="16.6640625" style="188" customWidth="1"/>
    <col min="1283" max="1283" width="25.88671875" style="188" customWidth="1"/>
    <col min="1284" max="1284" width="16.33203125" style="188" customWidth="1"/>
    <col min="1285" max="1285" width="10.33203125" style="188" bestFit="1" customWidth="1"/>
    <col min="1286" max="1286" width="10.77734375" style="188" customWidth="1"/>
    <col min="1287" max="1287" width="14.6640625" style="188" customWidth="1"/>
    <col min="1288" max="1288" width="18.33203125" style="188" customWidth="1"/>
    <col min="1289" max="1290" width="20.44140625" style="188" customWidth="1"/>
    <col min="1291" max="1291" width="20.33203125" style="188" customWidth="1"/>
    <col min="1292" max="1537" width="8.77734375" style="188"/>
    <col min="1538" max="1538" width="16.6640625" style="188" customWidth="1"/>
    <col min="1539" max="1539" width="25.88671875" style="188" customWidth="1"/>
    <col min="1540" max="1540" width="16.33203125" style="188" customWidth="1"/>
    <col min="1541" max="1541" width="10.33203125" style="188" bestFit="1" customWidth="1"/>
    <col min="1542" max="1542" width="10.77734375" style="188" customWidth="1"/>
    <col min="1543" max="1543" width="14.6640625" style="188" customWidth="1"/>
    <col min="1544" max="1544" width="18.33203125" style="188" customWidth="1"/>
    <col min="1545" max="1546" width="20.44140625" style="188" customWidth="1"/>
    <col min="1547" max="1547" width="20.33203125" style="188" customWidth="1"/>
    <col min="1548" max="1793" width="8.77734375" style="188"/>
    <col min="1794" max="1794" width="16.6640625" style="188" customWidth="1"/>
    <col min="1795" max="1795" width="25.88671875" style="188" customWidth="1"/>
    <col min="1796" max="1796" width="16.33203125" style="188" customWidth="1"/>
    <col min="1797" max="1797" width="10.33203125" style="188" bestFit="1" customWidth="1"/>
    <col min="1798" max="1798" width="10.77734375" style="188" customWidth="1"/>
    <col min="1799" max="1799" width="14.6640625" style="188" customWidth="1"/>
    <col min="1800" max="1800" width="18.33203125" style="188" customWidth="1"/>
    <col min="1801" max="1802" width="20.44140625" style="188" customWidth="1"/>
    <col min="1803" max="1803" width="20.33203125" style="188" customWidth="1"/>
    <col min="1804" max="2049" width="8.77734375" style="188"/>
    <col min="2050" max="2050" width="16.6640625" style="188" customWidth="1"/>
    <col min="2051" max="2051" width="25.88671875" style="188" customWidth="1"/>
    <col min="2052" max="2052" width="16.33203125" style="188" customWidth="1"/>
    <col min="2053" max="2053" width="10.33203125" style="188" bestFit="1" customWidth="1"/>
    <col min="2054" max="2054" width="10.77734375" style="188" customWidth="1"/>
    <col min="2055" max="2055" width="14.6640625" style="188" customWidth="1"/>
    <col min="2056" max="2056" width="18.33203125" style="188" customWidth="1"/>
    <col min="2057" max="2058" width="20.44140625" style="188" customWidth="1"/>
    <col min="2059" max="2059" width="20.33203125" style="188" customWidth="1"/>
    <col min="2060" max="2305" width="8.77734375" style="188"/>
    <col min="2306" max="2306" width="16.6640625" style="188" customWidth="1"/>
    <col min="2307" max="2307" width="25.88671875" style="188" customWidth="1"/>
    <col min="2308" max="2308" width="16.33203125" style="188" customWidth="1"/>
    <col min="2309" max="2309" width="10.33203125" style="188" bestFit="1" customWidth="1"/>
    <col min="2310" max="2310" width="10.77734375" style="188" customWidth="1"/>
    <col min="2311" max="2311" width="14.6640625" style="188" customWidth="1"/>
    <col min="2312" max="2312" width="18.33203125" style="188" customWidth="1"/>
    <col min="2313" max="2314" width="20.44140625" style="188" customWidth="1"/>
    <col min="2315" max="2315" width="20.33203125" style="188" customWidth="1"/>
    <col min="2316" max="2561" width="8.77734375" style="188"/>
    <col min="2562" max="2562" width="16.6640625" style="188" customWidth="1"/>
    <col min="2563" max="2563" width="25.88671875" style="188" customWidth="1"/>
    <col min="2564" max="2564" width="16.33203125" style="188" customWidth="1"/>
    <col min="2565" max="2565" width="10.33203125" style="188" bestFit="1" customWidth="1"/>
    <col min="2566" max="2566" width="10.77734375" style="188" customWidth="1"/>
    <col min="2567" max="2567" width="14.6640625" style="188" customWidth="1"/>
    <col min="2568" max="2568" width="18.33203125" style="188" customWidth="1"/>
    <col min="2569" max="2570" width="20.44140625" style="188" customWidth="1"/>
    <col min="2571" max="2571" width="20.33203125" style="188" customWidth="1"/>
    <col min="2572" max="2817" width="8.77734375" style="188"/>
    <col min="2818" max="2818" width="16.6640625" style="188" customWidth="1"/>
    <col min="2819" max="2819" width="25.88671875" style="188" customWidth="1"/>
    <col min="2820" max="2820" width="16.33203125" style="188" customWidth="1"/>
    <col min="2821" max="2821" width="10.33203125" style="188" bestFit="1" customWidth="1"/>
    <col min="2822" max="2822" width="10.77734375" style="188" customWidth="1"/>
    <col min="2823" max="2823" width="14.6640625" style="188" customWidth="1"/>
    <col min="2824" max="2824" width="18.33203125" style="188" customWidth="1"/>
    <col min="2825" max="2826" width="20.44140625" style="188" customWidth="1"/>
    <col min="2827" max="2827" width="20.33203125" style="188" customWidth="1"/>
    <col min="2828" max="3073" width="8.77734375" style="188"/>
    <col min="3074" max="3074" width="16.6640625" style="188" customWidth="1"/>
    <col min="3075" max="3075" width="25.88671875" style="188" customWidth="1"/>
    <col min="3076" max="3076" width="16.33203125" style="188" customWidth="1"/>
    <col min="3077" max="3077" width="10.33203125" style="188" bestFit="1" customWidth="1"/>
    <col min="3078" max="3078" width="10.77734375" style="188" customWidth="1"/>
    <col min="3079" max="3079" width="14.6640625" style="188" customWidth="1"/>
    <col min="3080" max="3080" width="18.33203125" style="188" customWidth="1"/>
    <col min="3081" max="3082" width="20.44140625" style="188" customWidth="1"/>
    <col min="3083" max="3083" width="20.33203125" style="188" customWidth="1"/>
    <col min="3084" max="3329" width="8.77734375" style="188"/>
    <col min="3330" max="3330" width="16.6640625" style="188" customWidth="1"/>
    <col min="3331" max="3331" width="25.88671875" style="188" customWidth="1"/>
    <col min="3332" max="3332" width="16.33203125" style="188" customWidth="1"/>
    <col min="3333" max="3333" width="10.33203125" style="188" bestFit="1" customWidth="1"/>
    <col min="3334" max="3334" width="10.77734375" style="188" customWidth="1"/>
    <col min="3335" max="3335" width="14.6640625" style="188" customWidth="1"/>
    <col min="3336" max="3336" width="18.33203125" style="188" customWidth="1"/>
    <col min="3337" max="3338" width="20.44140625" style="188" customWidth="1"/>
    <col min="3339" max="3339" width="20.33203125" style="188" customWidth="1"/>
    <col min="3340" max="3585" width="8.77734375" style="188"/>
    <col min="3586" max="3586" width="16.6640625" style="188" customWidth="1"/>
    <col min="3587" max="3587" width="25.88671875" style="188" customWidth="1"/>
    <col min="3588" max="3588" width="16.33203125" style="188" customWidth="1"/>
    <col min="3589" max="3589" width="10.33203125" style="188" bestFit="1" customWidth="1"/>
    <col min="3590" max="3590" width="10.77734375" style="188" customWidth="1"/>
    <col min="3591" max="3591" width="14.6640625" style="188" customWidth="1"/>
    <col min="3592" max="3592" width="18.33203125" style="188" customWidth="1"/>
    <col min="3593" max="3594" width="20.44140625" style="188" customWidth="1"/>
    <col min="3595" max="3595" width="20.33203125" style="188" customWidth="1"/>
    <col min="3596" max="3841" width="8.77734375" style="188"/>
    <col min="3842" max="3842" width="16.6640625" style="188" customWidth="1"/>
    <col min="3843" max="3843" width="25.88671875" style="188" customWidth="1"/>
    <col min="3844" max="3844" width="16.33203125" style="188" customWidth="1"/>
    <col min="3845" max="3845" width="10.33203125" style="188" bestFit="1" customWidth="1"/>
    <col min="3846" max="3846" width="10.77734375" style="188" customWidth="1"/>
    <col min="3847" max="3847" width="14.6640625" style="188" customWidth="1"/>
    <col min="3848" max="3848" width="18.33203125" style="188" customWidth="1"/>
    <col min="3849" max="3850" width="20.44140625" style="188" customWidth="1"/>
    <col min="3851" max="3851" width="20.33203125" style="188" customWidth="1"/>
    <col min="3852" max="4097" width="8.77734375" style="188"/>
    <col min="4098" max="4098" width="16.6640625" style="188" customWidth="1"/>
    <col min="4099" max="4099" width="25.88671875" style="188" customWidth="1"/>
    <col min="4100" max="4100" width="16.33203125" style="188" customWidth="1"/>
    <col min="4101" max="4101" width="10.33203125" style="188" bestFit="1" customWidth="1"/>
    <col min="4102" max="4102" width="10.77734375" style="188" customWidth="1"/>
    <col min="4103" max="4103" width="14.6640625" style="188" customWidth="1"/>
    <col min="4104" max="4104" width="18.33203125" style="188" customWidth="1"/>
    <col min="4105" max="4106" width="20.44140625" style="188" customWidth="1"/>
    <col min="4107" max="4107" width="20.33203125" style="188" customWidth="1"/>
    <col min="4108" max="4353" width="8.77734375" style="188"/>
    <col min="4354" max="4354" width="16.6640625" style="188" customWidth="1"/>
    <col min="4355" max="4355" width="25.88671875" style="188" customWidth="1"/>
    <col min="4356" max="4356" width="16.33203125" style="188" customWidth="1"/>
    <col min="4357" max="4357" width="10.33203125" style="188" bestFit="1" customWidth="1"/>
    <col min="4358" max="4358" width="10.77734375" style="188" customWidth="1"/>
    <col min="4359" max="4359" width="14.6640625" style="188" customWidth="1"/>
    <col min="4360" max="4360" width="18.33203125" style="188" customWidth="1"/>
    <col min="4361" max="4362" width="20.44140625" style="188" customWidth="1"/>
    <col min="4363" max="4363" width="20.33203125" style="188" customWidth="1"/>
    <col min="4364" max="4609" width="8.77734375" style="188"/>
    <col min="4610" max="4610" width="16.6640625" style="188" customWidth="1"/>
    <col min="4611" max="4611" width="25.88671875" style="188" customWidth="1"/>
    <col min="4612" max="4612" width="16.33203125" style="188" customWidth="1"/>
    <col min="4613" max="4613" width="10.33203125" style="188" bestFit="1" customWidth="1"/>
    <col min="4614" max="4614" width="10.77734375" style="188" customWidth="1"/>
    <col min="4615" max="4615" width="14.6640625" style="188" customWidth="1"/>
    <col min="4616" max="4616" width="18.33203125" style="188" customWidth="1"/>
    <col min="4617" max="4618" width="20.44140625" style="188" customWidth="1"/>
    <col min="4619" max="4619" width="20.33203125" style="188" customWidth="1"/>
    <col min="4620" max="4865" width="8.77734375" style="188"/>
    <col min="4866" max="4866" width="16.6640625" style="188" customWidth="1"/>
    <col min="4867" max="4867" width="25.88671875" style="188" customWidth="1"/>
    <col min="4868" max="4868" width="16.33203125" style="188" customWidth="1"/>
    <col min="4869" max="4869" width="10.33203125" style="188" bestFit="1" customWidth="1"/>
    <col min="4870" max="4870" width="10.77734375" style="188" customWidth="1"/>
    <col min="4871" max="4871" width="14.6640625" style="188" customWidth="1"/>
    <col min="4872" max="4872" width="18.33203125" style="188" customWidth="1"/>
    <col min="4873" max="4874" width="20.44140625" style="188" customWidth="1"/>
    <col min="4875" max="4875" width="20.33203125" style="188" customWidth="1"/>
    <col min="4876" max="5121" width="8.77734375" style="188"/>
    <col min="5122" max="5122" width="16.6640625" style="188" customWidth="1"/>
    <col min="5123" max="5123" width="25.88671875" style="188" customWidth="1"/>
    <col min="5124" max="5124" width="16.33203125" style="188" customWidth="1"/>
    <col min="5125" max="5125" width="10.33203125" style="188" bestFit="1" customWidth="1"/>
    <col min="5126" max="5126" width="10.77734375" style="188" customWidth="1"/>
    <col min="5127" max="5127" width="14.6640625" style="188" customWidth="1"/>
    <col min="5128" max="5128" width="18.33203125" style="188" customWidth="1"/>
    <col min="5129" max="5130" width="20.44140625" style="188" customWidth="1"/>
    <col min="5131" max="5131" width="20.33203125" style="188" customWidth="1"/>
    <col min="5132" max="5377" width="8.77734375" style="188"/>
    <col min="5378" max="5378" width="16.6640625" style="188" customWidth="1"/>
    <col min="5379" max="5379" width="25.88671875" style="188" customWidth="1"/>
    <col min="5380" max="5380" width="16.33203125" style="188" customWidth="1"/>
    <col min="5381" max="5381" width="10.33203125" style="188" bestFit="1" customWidth="1"/>
    <col min="5382" max="5382" width="10.77734375" style="188" customWidth="1"/>
    <col min="5383" max="5383" width="14.6640625" style="188" customWidth="1"/>
    <col min="5384" max="5384" width="18.33203125" style="188" customWidth="1"/>
    <col min="5385" max="5386" width="20.44140625" style="188" customWidth="1"/>
    <col min="5387" max="5387" width="20.33203125" style="188" customWidth="1"/>
    <col min="5388" max="5633" width="8.77734375" style="188"/>
    <col min="5634" max="5634" width="16.6640625" style="188" customWidth="1"/>
    <col min="5635" max="5635" width="25.88671875" style="188" customWidth="1"/>
    <col min="5636" max="5636" width="16.33203125" style="188" customWidth="1"/>
    <col min="5637" max="5637" width="10.33203125" style="188" bestFit="1" customWidth="1"/>
    <col min="5638" max="5638" width="10.77734375" style="188" customWidth="1"/>
    <col min="5639" max="5639" width="14.6640625" style="188" customWidth="1"/>
    <col min="5640" max="5640" width="18.33203125" style="188" customWidth="1"/>
    <col min="5641" max="5642" width="20.44140625" style="188" customWidth="1"/>
    <col min="5643" max="5643" width="20.33203125" style="188" customWidth="1"/>
    <col min="5644" max="5889" width="8.77734375" style="188"/>
    <col min="5890" max="5890" width="16.6640625" style="188" customWidth="1"/>
    <col min="5891" max="5891" width="25.88671875" style="188" customWidth="1"/>
    <col min="5892" max="5892" width="16.33203125" style="188" customWidth="1"/>
    <col min="5893" max="5893" width="10.33203125" style="188" bestFit="1" customWidth="1"/>
    <col min="5894" max="5894" width="10.77734375" style="188" customWidth="1"/>
    <col min="5895" max="5895" width="14.6640625" style="188" customWidth="1"/>
    <col min="5896" max="5896" width="18.33203125" style="188" customWidth="1"/>
    <col min="5897" max="5898" width="20.44140625" style="188" customWidth="1"/>
    <col min="5899" max="5899" width="20.33203125" style="188" customWidth="1"/>
    <col min="5900" max="6145" width="8.77734375" style="188"/>
    <col min="6146" max="6146" width="16.6640625" style="188" customWidth="1"/>
    <col min="6147" max="6147" width="25.88671875" style="188" customWidth="1"/>
    <col min="6148" max="6148" width="16.33203125" style="188" customWidth="1"/>
    <col min="6149" max="6149" width="10.33203125" style="188" bestFit="1" customWidth="1"/>
    <col min="6150" max="6150" width="10.77734375" style="188" customWidth="1"/>
    <col min="6151" max="6151" width="14.6640625" style="188" customWidth="1"/>
    <col min="6152" max="6152" width="18.33203125" style="188" customWidth="1"/>
    <col min="6153" max="6154" width="20.44140625" style="188" customWidth="1"/>
    <col min="6155" max="6155" width="20.33203125" style="188" customWidth="1"/>
    <col min="6156" max="6401" width="8.77734375" style="188"/>
    <col min="6402" max="6402" width="16.6640625" style="188" customWidth="1"/>
    <col min="6403" max="6403" width="25.88671875" style="188" customWidth="1"/>
    <col min="6404" max="6404" width="16.33203125" style="188" customWidth="1"/>
    <col min="6405" max="6405" width="10.33203125" style="188" bestFit="1" customWidth="1"/>
    <col min="6406" max="6406" width="10.77734375" style="188" customWidth="1"/>
    <col min="6407" max="6407" width="14.6640625" style="188" customWidth="1"/>
    <col min="6408" max="6408" width="18.33203125" style="188" customWidth="1"/>
    <col min="6409" max="6410" width="20.44140625" style="188" customWidth="1"/>
    <col min="6411" max="6411" width="20.33203125" style="188" customWidth="1"/>
    <col min="6412" max="6657" width="8.77734375" style="188"/>
    <col min="6658" max="6658" width="16.6640625" style="188" customWidth="1"/>
    <col min="6659" max="6659" width="25.88671875" style="188" customWidth="1"/>
    <col min="6660" max="6660" width="16.33203125" style="188" customWidth="1"/>
    <col min="6661" max="6661" width="10.33203125" style="188" bestFit="1" customWidth="1"/>
    <col min="6662" max="6662" width="10.77734375" style="188" customWidth="1"/>
    <col min="6663" max="6663" width="14.6640625" style="188" customWidth="1"/>
    <col min="6664" max="6664" width="18.33203125" style="188" customWidth="1"/>
    <col min="6665" max="6666" width="20.44140625" style="188" customWidth="1"/>
    <col min="6667" max="6667" width="20.33203125" style="188" customWidth="1"/>
    <col min="6668" max="6913" width="8.77734375" style="188"/>
    <col min="6914" max="6914" width="16.6640625" style="188" customWidth="1"/>
    <col min="6915" max="6915" width="25.88671875" style="188" customWidth="1"/>
    <col min="6916" max="6916" width="16.33203125" style="188" customWidth="1"/>
    <col min="6917" max="6917" width="10.33203125" style="188" bestFit="1" customWidth="1"/>
    <col min="6918" max="6918" width="10.77734375" style="188" customWidth="1"/>
    <col min="6919" max="6919" width="14.6640625" style="188" customWidth="1"/>
    <col min="6920" max="6920" width="18.33203125" style="188" customWidth="1"/>
    <col min="6921" max="6922" width="20.44140625" style="188" customWidth="1"/>
    <col min="6923" max="6923" width="20.33203125" style="188" customWidth="1"/>
    <col min="6924" max="7169" width="8.77734375" style="188"/>
    <col min="7170" max="7170" width="16.6640625" style="188" customWidth="1"/>
    <col min="7171" max="7171" width="25.88671875" style="188" customWidth="1"/>
    <col min="7172" max="7172" width="16.33203125" style="188" customWidth="1"/>
    <col min="7173" max="7173" width="10.33203125" style="188" bestFit="1" customWidth="1"/>
    <col min="7174" max="7174" width="10.77734375" style="188" customWidth="1"/>
    <col min="7175" max="7175" width="14.6640625" style="188" customWidth="1"/>
    <col min="7176" max="7176" width="18.33203125" style="188" customWidth="1"/>
    <col min="7177" max="7178" width="20.44140625" style="188" customWidth="1"/>
    <col min="7179" max="7179" width="20.33203125" style="188" customWidth="1"/>
    <col min="7180" max="7425" width="8.77734375" style="188"/>
    <col min="7426" max="7426" width="16.6640625" style="188" customWidth="1"/>
    <col min="7427" max="7427" width="25.88671875" style="188" customWidth="1"/>
    <col min="7428" max="7428" width="16.33203125" style="188" customWidth="1"/>
    <col min="7429" max="7429" width="10.33203125" style="188" bestFit="1" customWidth="1"/>
    <col min="7430" max="7430" width="10.77734375" style="188" customWidth="1"/>
    <col min="7431" max="7431" width="14.6640625" style="188" customWidth="1"/>
    <col min="7432" max="7432" width="18.33203125" style="188" customWidth="1"/>
    <col min="7433" max="7434" width="20.44140625" style="188" customWidth="1"/>
    <col min="7435" max="7435" width="20.33203125" style="188" customWidth="1"/>
    <col min="7436" max="7681" width="8.77734375" style="188"/>
    <col min="7682" max="7682" width="16.6640625" style="188" customWidth="1"/>
    <col min="7683" max="7683" width="25.88671875" style="188" customWidth="1"/>
    <col min="7684" max="7684" width="16.33203125" style="188" customWidth="1"/>
    <col min="7685" max="7685" width="10.33203125" style="188" bestFit="1" customWidth="1"/>
    <col min="7686" max="7686" width="10.77734375" style="188" customWidth="1"/>
    <col min="7687" max="7687" width="14.6640625" style="188" customWidth="1"/>
    <col min="7688" max="7688" width="18.33203125" style="188" customWidth="1"/>
    <col min="7689" max="7690" width="20.44140625" style="188" customWidth="1"/>
    <col min="7691" max="7691" width="20.33203125" style="188" customWidth="1"/>
    <col min="7692" max="7937" width="8.77734375" style="188"/>
    <col min="7938" max="7938" width="16.6640625" style="188" customWidth="1"/>
    <col min="7939" max="7939" width="25.88671875" style="188" customWidth="1"/>
    <col min="7940" max="7940" width="16.33203125" style="188" customWidth="1"/>
    <col min="7941" max="7941" width="10.33203125" style="188" bestFit="1" customWidth="1"/>
    <col min="7942" max="7942" width="10.77734375" style="188" customWidth="1"/>
    <col min="7943" max="7943" width="14.6640625" style="188" customWidth="1"/>
    <col min="7944" max="7944" width="18.33203125" style="188" customWidth="1"/>
    <col min="7945" max="7946" width="20.44140625" style="188" customWidth="1"/>
    <col min="7947" max="7947" width="20.33203125" style="188" customWidth="1"/>
    <col min="7948" max="8193" width="8.77734375" style="188"/>
    <col min="8194" max="8194" width="16.6640625" style="188" customWidth="1"/>
    <col min="8195" max="8195" width="25.88671875" style="188" customWidth="1"/>
    <col min="8196" max="8196" width="16.33203125" style="188" customWidth="1"/>
    <col min="8197" max="8197" width="10.33203125" style="188" bestFit="1" customWidth="1"/>
    <col min="8198" max="8198" width="10.77734375" style="188" customWidth="1"/>
    <col min="8199" max="8199" width="14.6640625" style="188" customWidth="1"/>
    <col min="8200" max="8200" width="18.33203125" style="188" customWidth="1"/>
    <col min="8201" max="8202" width="20.44140625" style="188" customWidth="1"/>
    <col min="8203" max="8203" width="20.33203125" style="188" customWidth="1"/>
    <col min="8204" max="8449" width="8.77734375" style="188"/>
    <col min="8450" max="8450" width="16.6640625" style="188" customWidth="1"/>
    <col min="8451" max="8451" width="25.88671875" style="188" customWidth="1"/>
    <col min="8452" max="8452" width="16.33203125" style="188" customWidth="1"/>
    <col min="8453" max="8453" width="10.33203125" style="188" bestFit="1" customWidth="1"/>
    <col min="8454" max="8454" width="10.77734375" style="188" customWidth="1"/>
    <col min="8455" max="8455" width="14.6640625" style="188" customWidth="1"/>
    <col min="8456" max="8456" width="18.33203125" style="188" customWidth="1"/>
    <col min="8457" max="8458" width="20.44140625" style="188" customWidth="1"/>
    <col min="8459" max="8459" width="20.33203125" style="188" customWidth="1"/>
    <col min="8460" max="8705" width="8.77734375" style="188"/>
    <col min="8706" max="8706" width="16.6640625" style="188" customWidth="1"/>
    <col min="8707" max="8707" width="25.88671875" style="188" customWidth="1"/>
    <col min="8708" max="8708" width="16.33203125" style="188" customWidth="1"/>
    <col min="8709" max="8709" width="10.33203125" style="188" bestFit="1" customWidth="1"/>
    <col min="8710" max="8710" width="10.77734375" style="188" customWidth="1"/>
    <col min="8711" max="8711" width="14.6640625" style="188" customWidth="1"/>
    <col min="8712" max="8712" width="18.33203125" style="188" customWidth="1"/>
    <col min="8713" max="8714" width="20.44140625" style="188" customWidth="1"/>
    <col min="8715" max="8715" width="20.33203125" style="188" customWidth="1"/>
    <col min="8716" max="8961" width="8.77734375" style="188"/>
    <col min="8962" max="8962" width="16.6640625" style="188" customWidth="1"/>
    <col min="8963" max="8963" width="25.88671875" style="188" customWidth="1"/>
    <col min="8964" max="8964" width="16.33203125" style="188" customWidth="1"/>
    <col min="8965" max="8965" width="10.33203125" style="188" bestFit="1" customWidth="1"/>
    <col min="8966" max="8966" width="10.77734375" style="188" customWidth="1"/>
    <col min="8967" max="8967" width="14.6640625" style="188" customWidth="1"/>
    <col min="8968" max="8968" width="18.33203125" style="188" customWidth="1"/>
    <col min="8969" max="8970" width="20.44140625" style="188" customWidth="1"/>
    <col min="8971" max="8971" width="20.33203125" style="188" customWidth="1"/>
    <col min="8972" max="9217" width="8.77734375" style="188"/>
    <col min="9218" max="9218" width="16.6640625" style="188" customWidth="1"/>
    <col min="9219" max="9219" width="25.88671875" style="188" customWidth="1"/>
    <col min="9220" max="9220" width="16.33203125" style="188" customWidth="1"/>
    <col min="9221" max="9221" width="10.33203125" style="188" bestFit="1" customWidth="1"/>
    <col min="9222" max="9222" width="10.77734375" style="188" customWidth="1"/>
    <col min="9223" max="9223" width="14.6640625" style="188" customWidth="1"/>
    <col min="9224" max="9224" width="18.33203125" style="188" customWidth="1"/>
    <col min="9225" max="9226" width="20.44140625" style="188" customWidth="1"/>
    <col min="9227" max="9227" width="20.33203125" style="188" customWidth="1"/>
    <col min="9228" max="9473" width="8.77734375" style="188"/>
    <col min="9474" max="9474" width="16.6640625" style="188" customWidth="1"/>
    <col min="9475" max="9475" width="25.88671875" style="188" customWidth="1"/>
    <col min="9476" max="9476" width="16.33203125" style="188" customWidth="1"/>
    <col min="9477" max="9477" width="10.33203125" style="188" bestFit="1" customWidth="1"/>
    <col min="9478" max="9478" width="10.77734375" style="188" customWidth="1"/>
    <col min="9479" max="9479" width="14.6640625" style="188" customWidth="1"/>
    <col min="9480" max="9480" width="18.33203125" style="188" customWidth="1"/>
    <col min="9481" max="9482" width="20.44140625" style="188" customWidth="1"/>
    <col min="9483" max="9483" width="20.33203125" style="188" customWidth="1"/>
    <col min="9484" max="9729" width="8.77734375" style="188"/>
    <col min="9730" max="9730" width="16.6640625" style="188" customWidth="1"/>
    <col min="9731" max="9731" width="25.88671875" style="188" customWidth="1"/>
    <col min="9732" max="9732" width="16.33203125" style="188" customWidth="1"/>
    <col min="9733" max="9733" width="10.33203125" style="188" bestFit="1" customWidth="1"/>
    <col min="9734" max="9734" width="10.77734375" style="188" customWidth="1"/>
    <col min="9735" max="9735" width="14.6640625" style="188" customWidth="1"/>
    <col min="9736" max="9736" width="18.33203125" style="188" customWidth="1"/>
    <col min="9737" max="9738" width="20.44140625" style="188" customWidth="1"/>
    <col min="9739" max="9739" width="20.33203125" style="188" customWidth="1"/>
    <col min="9740" max="9985" width="8.77734375" style="188"/>
    <col min="9986" max="9986" width="16.6640625" style="188" customWidth="1"/>
    <col min="9987" max="9987" width="25.88671875" style="188" customWidth="1"/>
    <col min="9988" max="9988" width="16.33203125" style="188" customWidth="1"/>
    <col min="9989" max="9989" width="10.33203125" style="188" bestFit="1" customWidth="1"/>
    <col min="9990" max="9990" width="10.77734375" style="188" customWidth="1"/>
    <col min="9991" max="9991" width="14.6640625" style="188" customWidth="1"/>
    <col min="9992" max="9992" width="18.33203125" style="188" customWidth="1"/>
    <col min="9993" max="9994" width="20.44140625" style="188" customWidth="1"/>
    <col min="9995" max="9995" width="20.33203125" style="188" customWidth="1"/>
    <col min="9996" max="10241" width="8.77734375" style="188"/>
    <col min="10242" max="10242" width="16.6640625" style="188" customWidth="1"/>
    <col min="10243" max="10243" width="25.88671875" style="188" customWidth="1"/>
    <col min="10244" max="10244" width="16.33203125" style="188" customWidth="1"/>
    <col min="10245" max="10245" width="10.33203125" style="188" bestFit="1" customWidth="1"/>
    <col min="10246" max="10246" width="10.77734375" style="188" customWidth="1"/>
    <col min="10247" max="10247" width="14.6640625" style="188" customWidth="1"/>
    <col min="10248" max="10248" width="18.33203125" style="188" customWidth="1"/>
    <col min="10249" max="10250" width="20.44140625" style="188" customWidth="1"/>
    <col min="10251" max="10251" width="20.33203125" style="188" customWidth="1"/>
    <col min="10252" max="10497" width="8.77734375" style="188"/>
    <col min="10498" max="10498" width="16.6640625" style="188" customWidth="1"/>
    <col min="10499" max="10499" width="25.88671875" style="188" customWidth="1"/>
    <col min="10500" max="10500" width="16.33203125" style="188" customWidth="1"/>
    <col min="10501" max="10501" width="10.33203125" style="188" bestFit="1" customWidth="1"/>
    <col min="10502" max="10502" width="10.77734375" style="188" customWidth="1"/>
    <col min="10503" max="10503" width="14.6640625" style="188" customWidth="1"/>
    <col min="10504" max="10504" width="18.33203125" style="188" customWidth="1"/>
    <col min="10505" max="10506" width="20.44140625" style="188" customWidth="1"/>
    <col min="10507" max="10507" width="20.33203125" style="188" customWidth="1"/>
    <col min="10508" max="10753" width="8.77734375" style="188"/>
    <col min="10754" max="10754" width="16.6640625" style="188" customWidth="1"/>
    <col min="10755" max="10755" width="25.88671875" style="188" customWidth="1"/>
    <col min="10756" max="10756" width="16.33203125" style="188" customWidth="1"/>
    <col min="10757" max="10757" width="10.33203125" style="188" bestFit="1" customWidth="1"/>
    <col min="10758" max="10758" width="10.77734375" style="188" customWidth="1"/>
    <col min="10759" max="10759" width="14.6640625" style="188" customWidth="1"/>
    <col min="10760" max="10760" width="18.33203125" style="188" customWidth="1"/>
    <col min="10761" max="10762" width="20.44140625" style="188" customWidth="1"/>
    <col min="10763" max="10763" width="20.33203125" style="188" customWidth="1"/>
    <col min="10764" max="11009" width="8.77734375" style="188"/>
    <col min="11010" max="11010" width="16.6640625" style="188" customWidth="1"/>
    <col min="11011" max="11011" width="25.88671875" style="188" customWidth="1"/>
    <col min="11012" max="11012" width="16.33203125" style="188" customWidth="1"/>
    <col min="11013" max="11013" width="10.33203125" style="188" bestFit="1" customWidth="1"/>
    <col min="11014" max="11014" width="10.77734375" style="188" customWidth="1"/>
    <col min="11015" max="11015" width="14.6640625" style="188" customWidth="1"/>
    <col min="11016" max="11016" width="18.33203125" style="188" customWidth="1"/>
    <col min="11017" max="11018" width="20.44140625" style="188" customWidth="1"/>
    <col min="11019" max="11019" width="20.33203125" style="188" customWidth="1"/>
    <col min="11020" max="11265" width="8.77734375" style="188"/>
    <col min="11266" max="11266" width="16.6640625" style="188" customWidth="1"/>
    <col min="11267" max="11267" width="25.88671875" style="188" customWidth="1"/>
    <col min="11268" max="11268" width="16.33203125" style="188" customWidth="1"/>
    <col min="11269" max="11269" width="10.33203125" style="188" bestFit="1" customWidth="1"/>
    <col min="11270" max="11270" width="10.77734375" style="188" customWidth="1"/>
    <col min="11271" max="11271" width="14.6640625" style="188" customWidth="1"/>
    <col min="11272" max="11272" width="18.33203125" style="188" customWidth="1"/>
    <col min="11273" max="11274" width="20.44140625" style="188" customWidth="1"/>
    <col min="11275" max="11275" width="20.33203125" style="188" customWidth="1"/>
    <col min="11276" max="11521" width="8.77734375" style="188"/>
    <col min="11522" max="11522" width="16.6640625" style="188" customWidth="1"/>
    <col min="11523" max="11523" width="25.88671875" style="188" customWidth="1"/>
    <col min="11524" max="11524" width="16.33203125" style="188" customWidth="1"/>
    <col min="11525" max="11525" width="10.33203125" style="188" bestFit="1" customWidth="1"/>
    <col min="11526" max="11526" width="10.77734375" style="188" customWidth="1"/>
    <col min="11527" max="11527" width="14.6640625" style="188" customWidth="1"/>
    <col min="11528" max="11528" width="18.33203125" style="188" customWidth="1"/>
    <col min="11529" max="11530" width="20.44140625" style="188" customWidth="1"/>
    <col min="11531" max="11531" width="20.33203125" style="188" customWidth="1"/>
    <col min="11532" max="11777" width="8.77734375" style="188"/>
    <col min="11778" max="11778" width="16.6640625" style="188" customWidth="1"/>
    <col min="11779" max="11779" width="25.88671875" style="188" customWidth="1"/>
    <col min="11780" max="11780" width="16.33203125" style="188" customWidth="1"/>
    <col min="11781" max="11781" width="10.33203125" style="188" bestFit="1" customWidth="1"/>
    <col min="11782" max="11782" width="10.77734375" style="188" customWidth="1"/>
    <col min="11783" max="11783" width="14.6640625" style="188" customWidth="1"/>
    <col min="11784" max="11784" width="18.33203125" style="188" customWidth="1"/>
    <col min="11785" max="11786" width="20.44140625" style="188" customWidth="1"/>
    <col min="11787" max="11787" width="20.33203125" style="188" customWidth="1"/>
    <col min="11788" max="12033" width="8.77734375" style="188"/>
    <col min="12034" max="12034" width="16.6640625" style="188" customWidth="1"/>
    <col min="12035" max="12035" width="25.88671875" style="188" customWidth="1"/>
    <col min="12036" max="12036" width="16.33203125" style="188" customWidth="1"/>
    <col min="12037" max="12037" width="10.33203125" style="188" bestFit="1" customWidth="1"/>
    <col min="12038" max="12038" width="10.77734375" style="188" customWidth="1"/>
    <col min="12039" max="12039" width="14.6640625" style="188" customWidth="1"/>
    <col min="12040" max="12040" width="18.33203125" style="188" customWidth="1"/>
    <col min="12041" max="12042" width="20.44140625" style="188" customWidth="1"/>
    <col min="12043" max="12043" width="20.33203125" style="188" customWidth="1"/>
    <col min="12044" max="12289" width="8.77734375" style="188"/>
    <col min="12290" max="12290" width="16.6640625" style="188" customWidth="1"/>
    <col min="12291" max="12291" width="25.88671875" style="188" customWidth="1"/>
    <col min="12292" max="12292" width="16.33203125" style="188" customWidth="1"/>
    <col min="12293" max="12293" width="10.33203125" style="188" bestFit="1" customWidth="1"/>
    <col min="12294" max="12294" width="10.77734375" style="188" customWidth="1"/>
    <col min="12295" max="12295" width="14.6640625" style="188" customWidth="1"/>
    <col min="12296" max="12296" width="18.33203125" style="188" customWidth="1"/>
    <col min="12297" max="12298" width="20.44140625" style="188" customWidth="1"/>
    <col min="12299" max="12299" width="20.33203125" style="188" customWidth="1"/>
    <col min="12300" max="12545" width="8.77734375" style="188"/>
    <col min="12546" max="12546" width="16.6640625" style="188" customWidth="1"/>
    <col min="12547" max="12547" width="25.88671875" style="188" customWidth="1"/>
    <col min="12548" max="12548" width="16.33203125" style="188" customWidth="1"/>
    <col min="12549" max="12549" width="10.33203125" style="188" bestFit="1" customWidth="1"/>
    <col min="12550" max="12550" width="10.77734375" style="188" customWidth="1"/>
    <col min="12551" max="12551" width="14.6640625" style="188" customWidth="1"/>
    <col min="12552" max="12552" width="18.33203125" style="188" customWidth="1"/>
    <col min="12553" max="12554" width="20.44140625" style="188" customWidth="1"/>
    <col min="12555" max="12555" width="20.33203125" style="188" customWidth="1"/>
    <col min="12556" max="12801" width="8.77734375" style="188"/>
    <col min="12802" max="12802" width="16.6640625" style="188" customWidth="1"/>
    <col min="12803" max="12803" width="25.88671875" style="188" customWidth="1"/>
    <col min="12804" max="12804" width="16.33203125" style="188" customWidth="1"/>
    <col min="12805" max="12805" width="10.33203125" style="188" bestFit="1" customWidth="1"/>
    <col min="12806" max="12806" width="10.77734375" style="188" customWidth="1"/>
    <col min="12807" max="12807" width="14.6640625" style="188" customWidth="1"/>
    <col min="12808" max="12808" width="18.33203125" style="188" customWidth="1"/>
    <col min="12809" max="12810" width="20.44140625" style="188" customWidth="1"/>
    <col min="12811" max="12811" width="20.33203125" style="188" customWidth="1"/>
    <col min="12812" max="13057" width="8.77734375" style="188"/>
    <col min="13058" max="13058" width="16.6640625" style="188" customWidth="1"/>
    <col min="13059" max="13059" width="25.88671875" style="188" customWidth="1"/>
    <col min="13060" max="13060" width="16.33203125" style="188" customWidth="1"/>
    <col min="13061" max="13061" width="10.33203125" style="188" bestFit="1" customWidth="1"/>
    <col min="13062" max="13062" width="10.77734375" style="188" customWidth="1"/>
    <col min="13063" max="13063" width="14.6640625" style="188" customWidth="1"/>
    <col min="13064" max="13064" width="18.33203125" style="188" customWidth="1"/>
    <col min="13065" max="13066" width="20.44140625" style="188" customWidth="1"/>
    <col min="13067" max="13067" width="20.33203125" style="188" customWidth="1"/>
    <col min="13068" max="13313" width="8.77734375" style="188"/>
    <col min="13314" max="13314" width="16.6640625" style="188" customWidth="1"/>
    <col min="13315" max="13315" width="25.88671875" style="188" customWidth="1"/>
    <col min="13316" max="13316" width="16.33203125" style="188" customWidth="1"/>
    <col min="13317" max="13317" width="10.33203125" style="188" bestFit="1" customWidth="1"/>
    <col min="13318" max="13318" width="10.77734375" style="188" customWidth="1"/>
    <col min="13319" max="13319" width="14.6640625" style="188" customWidth="1"/>
    <col min="13320" max="13320" width="18.33203125" style="188" customWidth="1"/>
    <col min="13321" max="13322" width="20.44140625" style="188" customWidth="1"/>
    <col min="13323" max="13323" width="20.33203125" style="188" customWidth="1"/>
    <col min="13324" max="13569" width="8.77734375" style="188"/>
    <col min="13570" max="13570" width="16.6640625" style="188" customWidth="1"/>
    <col min="13571" max="13571" width="25.88671875" style="188" customWidth="1"/>
    <col min="13572" max="13572" width="16.33203125" style="188" customWidth="1"/>
    <col min="13573" max="13573" width="10.33203125" style="188" bestFit="1" customWidth="1"/>
    <col min="13574" max="13574" width="10.77734375" style="188" customWidth="1"/>
    <col min="13575" max="13575" width="14.6640625" style="188" customWidth="1"/>
    <col min="13576" max="13576" width="18.33203125" style="188" customWidth="1"/>
    <col min="13577" max="13578" width="20.44140625" style="188" customWidth="1"/>
    <col min="13579" max="13579" width="20.33203125" style="188" customWidth="1"/>
    <col min="13580" max="13825" width="8.77734375" style="188"/>
    <col min="13826" max="13826" width="16.6640625" style="188" customWidth="1"/>
    <col min="13827" max="13827" width="25.88671875" style="188" customWidth="1"/>
    <col min="13828" max="13828" width="16.33203125" style="188" customWidth="1"/>
    <col min="13829" max="13829" width="10.33203125" style="188" bestFit="1" customWidth="1"/>
    <col min="13830" max="13830" width="10.77734375" style="188" customWidth="1"/>
    <col min="13831" max="13831" width="14.6640625" style="188" customWidth="1"/>
    <col min="13832" max="13832" width="18.33203125" style="188" customWidth="1"/>
    <col min="13833" max="13834" width="20.44140625" style="188" customWidth="1"/>
    <col min="13835" max="13835" width="20.33203125" style="188" customWidth="1"/>
    <col min="13836" max="14081" width="8.77734375" style="188"/>
    <col min="14082" max="14082" width="16.6640625" style="188" customWidth="1"/>
    <col min="14083" max="14083" width="25.88671875" style="188" customWidth="1"/>
    <col min="14084" max="14084" width="16.33203125" style="188" customWidth="1"/>
    <col min="14085" max="14085" width="10.33203125" style="188" bestFit="1" customWidth="1"/>
    <col min="14086" max="14086" width="10.77734375" style="188" customWidth="1"/>
    <col min="14087" max="14087" width="14.6640625" style="188" customWidth="1"/>
    <col min="14088" max="14088" width="18.33203125" style="188" customWidth="1"/>
    <col min="14089" max="14090" width="20.44140625" style="188" customWidth="1"/>
    <col min="14091" max="14091" width="20.33203125" style="188" customWidth="1"/>
    <col min="14092" max="14337" width="8.77734375" style="188"/>
    <col min="14338" max="14338" width="16.6640625" style="188" customWidth="1"/>
    <col min="14339" max="14339" width="25.88671875" style="188" customWidth="1"/>
    <col min="14340" max="14340" width="16.33203125" style="188" customWidth="1"/>
    <col min="14341" max="14341" width="10.33203125" style="188" bestFit="1" customWidth="1"/>
    <col min="14342" max="14342" width="10.77734375" style="188" customWidth="1"/>
    <col min="14343" max="14343" width="14.6640625" style="188" customWidth="1"/>
    <col min="14344" max="14344" width="18.33203125" style="188" customWidth="1"/>
    <col min="14345" max="14346" width="20.44140625" style="188" customWidth="1"/>
    <col min="14347" max="14347" width="20.33203125" style="188" customWidth="1"/>
    <col min="14348" max="14593" width="8.77734375" style="188"/>
    <col min="14594" max="14594" width="16.6640625" style="188" customWidth="1"/>
    <col min="14595" max="14595" width="25.88671875" style="188" customWidth="1"/>
    <col min="14596" max="14596" width="16.33203125" style="188" customWidth="1"/>
    <col min="14597" max="14597" width="10.33203125" style="188" bestFit="1" customWidth="1"/>
    <col min="14598" max="14598" width="10.77734375" style="188" customWidth="1"/>
    <col min="14599" max="14599" width="14.6640625" style="188" customWidth="1"/>
    <col min="14600" max="14600" width="18.33203125" style="188" customWidth="1"/>
    <col min="14601" max="14602" width="20.44140625" style="188" customWidth="1"/>
    <col min="14603" max="14603" width="20.33203125" style="188" customWidth="1"/>
    <col min="14604" max="14849" width="8.77734375" style="188"/>
    <col min="14850" max="14850" width="16.6640625" style="188" customWidth="1"/>
    <col min="14851" max="14851" width="25.88671875" style="188" customWidth="1"/>
    <col min="14852" max="14852" width="16.33203125" style="188" customWidth="1"/>
    <col min="14853" max="14853" width="10.33203125" style="188" bestFit="1" customWidth="1"/>
    <col min="14854" max="14854" width="10.77734375" style="188" customWidth="1"/>
    <col min="14855" max="14855" width="14.6640625" style="188" customWidth="1"/>
    <col min="14856" max="14856" width="18.33203125" style="188" customWidth="1"/>
    <col min="14857" max="14858" width="20.44140625" style="188" customWidth="1"/>
    <col min="14859" max="14859" width="20.33203125" style="188" customWidth="1"/>
    <col min="14860" max="15105" width="8.77734375" style="188"/>
    <col min="15106" max="15106" width="16.6640625" style="188" customWidth="1"/>
    <col min="15107" max="15107" width="25.88671875" style="188" customWidth="1"/>
    <col min="15108" max="15108" width="16.33203125" style="188" customWidth="1"/>
    <col min="15109" max="15109" width="10.33203125" style="188" bestFit="1" customWidth="1"/>
    <col min="15110" max="15110" width="10.77734375" style="188" customWidth="1"/>
    <col min="15111" max="15111" width="14.6640625" style="188" customWidth="1"/>
    <col min="15112" max="15112" width="18.33203125" style="188" customWidth="1"/>
    <col min="15113" max="15114" width="20.44140625" style="188" customWidth="1"/>
    <col min="15115" max="15115" width="20.33203125" style="188" customWidth="1"/>
    <col min="15116" max="15361" width="8.77734375" style="188"/>
    <col min="15362" max="15362" width="16.6640625" style="188" customWidth="1"/>
    <col min="15363" max="15363" width="25.88671875" style="188" customWidth="1"/>
    <col min="15364" max="15364" width="16.33203125" style="188" customWidth="1"/>
    <col min="15365" max="15365" width="10.33203125" style="188" bestFit="1" customWidth="1"/>
    <col min="15366" max="15366" width="10.77734375" style="188" customWidth="1"/>
    <col min="15367" max="15367" width="14.6640625" style="188" customWidth="1"/>
    <col min="15368" max="15368" width="18.33203125" style="188" customWidth="1"/>
    <col min="15369" max="15370" width="20.44140625" style="188" customWidth="1"/>
    <col min="15371" max="15371" width="20.33203125" style="188" customWidth="1"/>
    <col min="15372" max="15617" width="8.77734375" style="188"/>
    <col min="15618" max="15618" width="16.6640625" style="188" customWidth="1"/>
    <col min="15619" max="15619" width="25.88671875" style="188" customWidth="1"/>
    <col min="15620" max="15620" width="16.33203125" style="188" customWidth="1"/>
    <col min="15621" max="15621" width="10.33203125" style="188" bestFit="1" customWidth="1"/>
    <col min="15622" max="15622" width="10.77734375" style="188" customWidth="1"/>
    <col min="15623" max="15623" width="14.6640625" style="188" customWidth="1"/>
    <col min="15624" max="15624" width="18.33203125" style="188" customWidth="1"/>
    <col min="15625" max="15626" width="20.44140625" style="188" customWidth="1"/>
    <col min="15627" max="15627" width="20.33203125" style="188" customWidth="1"/>
    <col min="15628" max="15873" width="8.77734375" style="188"/>
    <col min="15874" max="15874" width="16.6640625" style="188" customWidth="1"/>
    <col min="15875" max="15875" width="25.88671875" style="188" customWidth="1"/>
    <col min="15876" max="15876" width="16.33203125" style="188" customWidth="1"/>
    <col min="15877" max="15877" width="10.33203125" style="188" bestFit="1" customWidth="1"/>
    <col min="15878" max="15878" width="10.77734375" style="188" customWidth="1"/>
    <col min="15879" max="15879" width="14.6640625" style="188" customWidth="1"/>
    <col min="15880" max="15880" width="18.33203125" style="188" customWidth="1"/>
    <col min="15881" max="15882" width="20.44140625" style="188" customWidth="1"/>
    <col min="15883" max="15883" width="20.33203125" style="188" customWidth="1"/>
    <col min="15884" max="16129" width="8.77734375" style="188"/>
    <col min="16130" max="16130" width="16.6640625" style="188" customWidth="1"/>
    <col min="16131" max="16131" width="25.88671875" style="188" customWidth="1"/>
    <col min="16132" max="16132" width="16.33203125" style="188" customWidth="1"/>
    <col min="16133" max="16133" width="10.33203125" style="188" bestFit="1" customWidth="1"/>
    <col min="16134" max="16134" width="10.77734375" style="188" customWidth="1"/>
    <col min="16135" max="16135" width="14.6640625" style="188" customWidth="1"/>
    <col min="16136" max="16136" width="18.33203125" style="188" customWidth="1"/>
    <col min="16137" max="16138" width="20.44140625" style="188" customWidth="1"/>
    <col min="16139" max="16139" width="20.33203125" style="188" customWidth="1"/>
    <col min="16140" max="16384" width="8.77734375" style="188"/>
  </cols>
  <sheetData>
    <row r="1" spans="1:12">
      <c r="A1" s="331" t="s">
        <v>208</v>
      </c>
      <c r="B1" s="331" t="s">
        <v>209</v>
      </c>
      <c r="C1" s="331" t="s">
        <v>210</v>
      </c>
      <c r="E1" s="332" t="s">
        <v>235</v>
      </c>
      <c r="F1" s="332"/>
      <c r="G1" s="332"/>
      <c r="H1" s="332"/>
      <c r="I1" s="332"/>
      <c r="J1" s="332"/>
      <c r="K1" s="332"/>
    </row>
    <row r="2" spans="1:12" ht="27.6">
      <c r="A2" s="331"/>
      <c r="B2" s="331"/>
      <c r="C2" s="331"/>
      <c r="D2" s="204" t="s">
        <v>211</v>
      </c>
      <c r="E2" s="165" t="s">
        <v>214</v>
      </c>
      <c r="F2" s="165" t="s">
        <v>215</v>
      </c>
      <c r="G2" s="165" t="s">
        <v>216</v>
      </c>
      <c r="H2" s="166" t="s">
        <v>217</v>
      </c>
      <c r="I2" s="166" t="s">
        <v>218</v>
      </c>
      <c r="J2" s="166" t="s">
        <v>236</v>
      </c>
      <c r="K2" s="165" t="s">
        <v>220</v>
      </c>
    </row>
    <row r="3" spans="1:12" ht="14.55" customHeight="1">
      <c r="A3" s="174">
        <v>1</v>
      </c>
      <c r="B3" s="174" t="s">
        <v>237</v>
      </c>
      <c r="C3" s="175" t="s">
        <v>238</v>
      </c>
      <c r="D3" s="183" t="s">
        <v>223</v>
      </c>
      <c r="E3" s="189">
        <v>600</v>
      </c>
      <c r="F3" s="189">
        <v>280</v>
      </c>
      <c r="G3" s="190">
        <f>161718.9/600</f>
        <v>269.53149999999999</v>
      </c>
      <c r="H3" s="189">
        <f t="shared" ref="H3:H8" si="0">E3*F3</f>
        <v>168000</v>
      </c>
      <c r="I3" s="190">
        <f t="shared" ref="I3:I8" si="1">E3*G3</f>
        <v>161718.9</v>
      </c>
      <c r="J3" s="190">
        <f t="shared" ref="J3:J8" si="2">IF(G3&gt;F3,(G3-F3)*E3,0)</f>
        <v>0</v>
      </c>
      <c r="K3" s="190">
        <f t="shared" ref="K3:K8" si="3">IF(F3&gt;G3,(F3-G3)*E3,0)</f>
        <v>6281.100000000004</v>
      </c>
    </row>
    <row r="4" spans="1:12">
      <c r="A4" s="167">
        <v>2</v>
      </c>
      <c r="B4" s="167" t="s">
        <v>237</v>
      </c>
      <c r="C4" s="168" t="s">
        <v>238</v>
      </c>
      <c r="D4" s="169" t="s">
        <v>223</v>
      </c>
      <c r="E4" s="191">
        <v>600</v>
      </c>
      <c r="F4" s="191">
        <v>280</v>
      </c>
      <c r="G4" s="192">
        <f>159375/600</f>
        <v>265.625</v>
      </c>
      <c r="H4" s="191">
        <f t="shared" si="0"/>
        <v>168000</v>
      </c>
      <c r="I4" s="192">
        <f t="shared" si="1"/>
        <v>159375</v>
      </c>
      <c r="J4" s="192">
        <f t="shared" si="2"/>
        <v>0</v>
      </c>
      <c r="K4" s="192">
        <f t="shared" si="3"/>
        <v>8625</v>
      </c>
    </row>
    <row r="5" spans="1:12" ht="14.55" customHeight="1">
      <c r="A5" s="174">
        <v>3</v>
      </c>
      <c r="B5" s="174" t="s">
        <v>237</v>
      </c>
      <c r="C5" s="175" t="s">
        <v>238</v>
      </c>
      <c r="D5" s="183" t="s">
        <v>225</v>
      </c>
      <c r="E5" s="189">
        <v>700</v>
      </c>
      <c r="F5" s="189">
        <v>280</v>
      </c>
      <c r="G5" s="190">
        <v>253.90649999999999</v>
      </c>
      <c r="H5" s="189">
        <f t="shared" si="0"/>
        <v>196000</v>
      </c>
      <c r="I5" s="190">
        <f t="shared" si="1"/>
        <v>177734.55</v>
      </c>
      <c r="J5" s="190">
        <f t="shared" si="2"/>
        <v>0</v>
      </c>
      <c r="K5" s="190">
        <f t="shared" si="3"/>
        <v>18265.450000000004</v>
      </c>
    </row>
    <row r="6" spans="1:12">
      <c r="A6" s="167">
        <v>4</v>
      </c>
      <c r="B6" s="167" t="s">
        <v>237</v>
      </c>
      <c r="C6" s="168" t="s">
        <v>238</v>
      </c>
      <c r="D6" s="169" t="s">
        <v>227</v>
      </c>
      <c r="E6" s="191">
        <v>700</v>
      </c>
      <c r="F6" s="191">
        <v>280</v>
      </c>
      <c r="G6" s="192">
        <f>169067.85/700</f>
        <v>241.52550000000002</v>
      </c>
      <c r="H6" s="191">
        <f t="shared" si="0"/>
        <v>196000</v>
      </c>
      <c r="I6" s="192">
        <f t="shared" si="1"/>
        <v>169067.85</v>
      </c>
      <c r="J6" s="192">
        <f t="shared" si="2"/>
        <v>0</v>
      </c>
      <c r="K6" s="192">
        <f t="shared" si="3"/>
        <v>26932.149999999983</v>
      </c>
    </row>
    <row r="7" spans="1:12">
      <c r="A7" s="174">
        <v>5</v>
      </c>
      <c r="B7" s="174" t="s">
        <v>237</v>
      </c>
      <c r="C7" s="175" t="s">
        <v>238</v>
      </c>
      <c r="D7" s="183" t="s">
        <v>227</v>
      </c>
      <c r="E7" s="189">
        <v>700</v>
      </c>
      <c r="F7" s="189">
        <v>280</v>
      </c>
      <c r="G7" s="189">
        <f>166101.6/700</f>
        <v>237.28800000000001</v>
      </c>
      <c r="H7" s="189">
        <f t="shared" si="0"/>
        <v>196000</v>
      </c>
      <c r="I7" s="190">
        <f t="shared" si="1"/>
        <v>166101.6</v>
      </c>
      <c r="J7" s="190">
        <f t="shared" si="2"/>
        <v>0</v>
      </c>
      <c r="K7" s="190">
        <f t="shared" si="3"/>
        <v>29898.399999999994</v>
      </c>
    </row>
    <row r="8" spans="1:12">
      <c r="A8" s="167">
        <v>6</v>
      </c>
      <c r="B8" s="167" t="s">
        <v>237</v>
      </c>
      <c r="C8" s="168" t="s">
        <v>238</v>
      </c>
      <c r="D8" s="169" t="s">
        <v>229</v>
      </c>
      <c r="E8" s="191">
        <v>600</v>
      </c>
      <c r="F8" s="191">
        <v>280</v>
      </c>
      <c r="G8" s="192">
        <f>139830.6/600</f>
        <v>233.05100000000002</v>
      </c>
      <c r="H8" s="191">
        <f t="shared" si="0"/>
        <v>168000</v>
      </c>
      <c r="I8" s="192">
        <f t="shared" si="1"/>
        <v>139830.6</v>
      </c>
      <c r="J8" s="192">
        <f t="shared" si="2"/>
        <v>0</v>
      </c>
      <c r="K8" s="192">
        <f t="shared" si="3"/>
        <v>28169.399999999991</v>
      </c>
    </row>
    <row r="9" spans="1:12">
      <c r="A9" s="167">
        <v>7</v>
      </c>
      <c r="B9" s="167" t="s">
        <v>237</v>
      </c>
      <c r="C9" s="168" t="s">
        <v>238</v>
      </c>
      <c r="D9" s="169" t="s">
        <v>229</v>
      </c>
      <c r="E9" s="191">
        <v>600</v>
      </c>
      <c r="F9" s="191">
        <v>280</v>
      </c>
      <c r="G9" s="192">
        <f>137288.1/600</f>
        <v>228.8135</v>
      </c>
      <c r="H9" s="191">
        <f>E9*F9</f>
        <v>168000</v>
      </c>
      <c r="I9" s="192">
        <f>E9*G9</f>
        <v>137288.1</v>
      </c>
      <c r="J9" s="192">
        <f>IF(G9&gt;F9,(G9-F9)*E9,0)</f>
        <v>0</v>
      </c>
      <c r="K9" s="192">
        <f>IF(F9&gt;G9,(F9-G9)*E9,0)</f>
        <v>30711.899999999998</v>
      </c>
    </row>
    <row r="10" spans="1:12">
      <c r="A10" s="333" t="s">
        <v>239</v>
      </c>
      <c r="B10" s="334"/>
      <c r="C10" s="334"/>
      <c r="D10" s="335"/>
      <c r="E10" s="193">
        <f>SUM(E3:E9)</f>
        <v>4500</v>
      </c>
      <c r="F10" s="194"/>
      <c r="G10" s="195"/>
      <c r="H10" s="193">
        <f>SUM(H3:H9)</f>
        <v>1260000</v>
      </c>
      <c r="I10" s="193">
        <f>SUM(I3:I9)</f>
        <v>1111116.6000000001</v>
      </c>
      <c r="J10" s="196">
        <f>SUM(J3:J7)</f>
        <v>0</v>
      </c>
      <c r="K10" s="196">
        <f>SUM(K3:K9)</f>
        <v>148883.4</v>
      </c>
      <c r="L10" s="217">
        <f>K10/100000</f>
        <v>1.488834</v>
      </c>
    </row>
    <row r="13" spans="1:12">
      <c r="D13" s="197"/>
    </row>
    <row r="14" spans="1:12">
      <c r="D14" s="197"/>
    </row>
    <row r="15" spans="1:12">
      <c r="D15" s="197"/>
    </row>
    <row r="16" spans="1:12">
      <c r="D16" s="197"/>
    </row>
    <row r="17" spans="4:4">
      <c r="D17" s="197"/>
    </row>
  </sheetData>
  <sheetProtection formatCells="0" formatColumns="0" formatRows="0" insertColumns="0" insertRows="0" insertHyperlinks="0" deleteColumns="0" deleteRows="0" sort="0" autoFilter="0" pivotTables="0"/>
  <mergeCells count="5">
    <mergeCell ref="A1:A2"/>
    <mergeCell ref="B1:B2"/>
    <mergeCell ref="C1:C2"/>
    <mergeCell ref="E1:K1"/>
    <mergeCell ref="A10:D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Dashboard</vt:lpstr>
      <vt:lpstr>Tracking</vt:lpstr>
      <vt:lpstr>Cash Flow Chart - INR</vt:lpstr>
      <vt:lpstr>Cash Flow - Forecast</vt:lpstr>
      <vt:lpstr>Budget</vt:lpstr>
      <vt:lpstr>Monitoring</vt:lpstr>
      <vt:lpstr>STEEL RATE DIFFRENCE</vt:lpstr>
      <vt:lpstr>CEMENT RATE DIFFRENCE</vt:lpstr>
      <vt:lpstr>Budget!Print_Area</vt:lpstr>
      <vt:lpstr>'Cash Flow - Forecast'!Print_Area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Saiyam Shah</dc:creator>
  <cp:lastModifiedBy>Saiyam Shah</cp:lastModifiedBy>
  <dcterms:created xsi:type="dcterms:W3CDTF">2026-01-11T09:20:41Z</dcterms:created>
  <dcterms:modified xsi:type="dcterms:W3CDTF">2026-01-22T17:27:18Z</dcterms:modified>
</cp:coreProperties>
</file>